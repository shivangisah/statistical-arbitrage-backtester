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ibu1\Downloads\"/>
    </mc:Choice>
  </mc:AlternateContent>
  <xr:revisionPtr revIDLastSave="0" documentId="8_{A8C0A846-A6BB-4638-AE81-8AF04F5284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Performance Summary" sheetId="2" r:id="rId2"/>
    <sheet name="Daily Backtest" sheetId="3" r:id="rId3"/>
    <sheet name="Methodology" sheetId="4" r:id="rId4"/>
    <sheet name="Chart Dat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 l="1"/>
  <c r="I6" i="1"/>
  <c r="E6" i="1"/>
  <c r="A6" i="1"/>
</calcChain>
</file>

<file path=xl/sharedStrings.xml><?xml version="1.0" encoding="utf-8"?>
<sst xmlns="http://schemas.openxmlformats.org/spreadsheetml/2006/main" count="97" uniqueCount="76">
  <si>
    <t>TXN-GS Statistical Arbitrage Backtest Dashboard</t>
  </si>
  <si>
    <t>Training: 2021–2023  |  Validation: 2024  |  Out-of-Sample: 2025</t>
  </si>
  <si>
    <t>2024 Validation Net Return</t>
  </si>
  <si>
    <t>2025 OOS Net Return</t>
  </si>
  <si>
    <t>2025 Sharpe</t>
  </si>
  <si>
    <t>Max Drawdown</t>
  </si>
  <si>
    <t>Selected Pair</t>
  </si>
  <si>
    <t>Train Coint. p</t>
  </si>
  <si>
    <t>Train ADF p</t>
  </si>
  <si>
    <t>Train Beta</t>
  </si>
  <si>
    <t>Half-Life</t>
  </si>
  <si>
    <t>Lookback</t>
  </si>
  <si>
    <t>Entry</t>
  </si>
  <si>
    <t>Exit</t>
  </si>
  <si>
    <t>2025 Entries</t>
  </si>
  <si>
    <t>2025 Exits</t>
  </si>
  <si>
    <t>Cost Rate</t>
  </si>
  <si>
    <t>TXN-GS</t>
  </si>
  <si>
    <t>Key result: validation was positive in 2024 (+6.41% net; Sharpe 0.818), while the locked 2025 out-of-sample period was negative (-4.22% net; Sharpe -0.317). The 2025 gross return was -1.30% and transaction costs added 3.00% of modeled drag.</t>
  </si>
  <si>
    <t>Metric</t>
  </si>
  <si>
    <t>Value</t>
  </si>
  <si>
    <t>Training Period</t>
  </si>
  <si>
    <t>2021-2023</t>
  </si>
  <si>
    <t>Validation Period</t>
  </si>
  <si>
    <t>Out-of-Sample Period</t>
  </si>
  <si>
    <t>Training Cointegration P-Value</t>
  </si>
  <si>
    <t>Training ADF P-Value</t>
  </si>
  <si>
    <t>Training Alpha</t>
  </si>
  <si>
    <t>Training Beta</t>
  </si>
  <si>
    <t>Half-Life (Days)</t>
  </si>
  <si>
    <t>Z-Score Lookback</t>
  </si>
  <si>
    <t>Entry Threshold</t>
  </si>
  <si>
    <t>Exit Threshold</t>
  </si>
  <si>
    <t>Transaction Cost Rate</t>
  </si>
  <si>
    <t>2024 Validation Sharpe</t>
  </si>
  <si>
    <t>2024 Validation Max Drawdown</t>
  </si>
  <si>
    <t>2024 Number of Trades</t>
  </si>
  <si>
    <t>2025 Gross Return</t>
  </si>
  <si>
    <t>2025 Net Return</t>
  </si>
  <si>
    <t>2025 Annualized Volatility</t>
  </si>
  <si>
    <t>2025 Sharpe Ratio</t>
  </si>
  <si>
    <t>2025 Sortino Ratio</t>
  </si>
  <si>
    <t>2025 Maximum Drawdown</t>
  </si>
  <si>
    <t>2025 Strategy Entries</t>
  </si>
  <si>
    <t>2025 Strategy Exits</t>
  </si>
  <si>
    <t>2025 Transaction Cost</t>
  </si>
  <si>
    <t>Date</t>
  </si>
  <si>
    <t>TXN_Price</t>
  </si>
  <si>
    <t>GS_Price</t>
  </si>
  <si>
    <t>Spread</t>
  </si>
  <si>
    <t>Rolling_Mean</t>
  </si>
  <si>
    <t>Rolling_Std</t>
  </si>
  <si>
    <t>Z_Score</t>
  </si>
  <si>
    <t>Signal_Position</t>
  </si>
  <si>
    <t>Executed_Position</t>
  </si>
  <si>
    <t>Gross_Return</t>
  </si>
  <si>
    <t>Turnover</t>
  </si>
  <si>
    <t>Transaction_Cost</t>
  </si>
  <si>
    <t>Net_Return</t>
  </si>
  <si>
    <t>Gross_Equity</t>
  </si>
  <si>
    <t>Net_Equity</t>
  </si>
  <si>
    <t>Drawdown</t>
  </si>
  <si>
    <t>Statistical Arbitrage Backtest — Model Specification</t>
  </si>
  <si>
    <t>Parameter</t>
  </si>
  <si>
    <t>Diagnostic / Cost Input</t>
  </si>
  <si>
    <t>Cointegration P-Value</t>
  </si>
  <si>
    <t>ADF P-Value</t>
  </si>
  <si>
    <t>Half-Life (Trading Days)</t>
  </si>
  <si>
    <t>Model logic: the uploaded backtest uses a fixed TXN-GS pair, a 12-day Z-score lookback, entry thresholds at ±2.0, exit threshold at ±0.5, and 10 bps transaction cost per unit turnover. Training, validation and out-of-sample periods are kept separate in the supplied summary.</t>
  </si>
  <si>
    <t>Net Equity</t>
  </si>
  <si>
    <t>Z-Score</t>
  </si>
  <si>
    <t>Period</t>
  </si>
  <si>
    <t>Net Return</t>
  </si>
  <si>
    <t>Sharpe</t>
  </si>
  <si>
    <t>2024 Validation</t>
  </si>
  <si>
    <t>2025 OOS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</si>
</sst>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000"/>
    <numFmt numFmtId="165" formatCode="0.0000"/>
    <numFmt numFmtId="166" formatCode="0.0"/>
    <numFmt numFmtId="167" formatCode="0.00%;[Red]\(0.00%\);\-"/>
    <numFmt numFmtId="168" formatCode="0.000"/>
    <numFmt numFmtId="169" formatCode="0.000;[Red]\(0.000\);\-"/>
    <numFmt numFmtId="170" formatCode="yyyy\-mm\-dd"/>
    <numFmt numFmtId="171" formatCode="0.0000;[Red]\(0.0000\);\-"/>
    <numFmt numFmtId="172" formatCode="0.0000%;[Red]\(0.0000%\);\-"/>
  </numFmts>
  <fonts count="9">
    <font>
      <sz val="11"/>
      <name val="Carlito"/>
    </font>
    <font>
      <b/>
      <sz val="11"/>
      <color rgb="FFFFFFFF"/>
      <name val="Carlito"/>
    </font>
    <font>
      <sz val="11"/>
      <color rgb="FF1F1F1F"/>
      <name val="Carlito"/>
    </font>
    <font>
      <sz val="11"/>
      <color rgb="FF0000FF"/>
      <name val="Carlito"/>
    </font>
    <font>
      <b/>
      <sz val="15"/>
      <color rgb="FFFFFFFF"/>
      <name val="Carlito"/>
    </font>
    <font>
      <i/>
      <sz val="11"/>
      <color rgb="FF1F1F1F"/>
      <name val="Carlito"/>
    </font>
    <font>
      <b/>
      <sz val="18"/>
      <color rgb="FFFFFFFF"/>
      <name val="Carlito"/>
    </font>
    <font>
      <b/>
      <sz val="16"/>
      <color rgb="FF008000"/>
      <name val="Carlito"/>
    </font>
    <font>
      <b/>
      <sz val="11"/>
      <color rgb="FF1F1F1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1F1F"/>
      </patternFill>
    </fill>
    <fill>
      <patternFill patternType="solid">
        <fgColor rgb="FFF3F6F9"/>
      </patternFill>
    </fill>
    <fill>
      <patternFill patternType="solid">
        <fgColor rgb="FFD9EAF7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3" fillId="0" borderId="4" xfId="0" applyFont="1" applyBorder="1"/>
    <xf numFmtId="0" fontId="2" fillId="0" borderId="5" xfId="0" applyFont="1" applyBorder="1"/>
    <xf numFmtId="164" fontId="3" fillId="0" borderId="4" xfId="0" applyNumberFormat="1" applyFont="1" applyBorder="1"/>
    <xf numFmtId="165" fontId="3" fillId="0" borderId="4" xfId="0" applyNumberFormat="1" applyFont="1" applyBorder="1"/>
    <xf numFmtId="166" fontId="3" fillId="0" borderId="4" xfId="0" applyNumberFormat="1" applyFont="1" applyBorder="1"/>
    <xf numFmtId="167" fontId="3" fillId="0" borderId="4" xfId="0" applyNumberFormat="1" applyFont="1" applyBorder="1"/>
    <xf numFmtId="168" fontId="3" fillId="0" borderId="4" xfId="0" applyNumberFormat="1" applyFont="1" applyBorder="1"/>
    <xf numFmtId="169" fontId="3" fillId="0" borderId="4" xfId="0" applyNumberFormat="1" applyFont="1" applyBorder="1"/>
    <xf numFmtId="167" fontId="3" fillId="0" borderId="6" xfId="0" applyNumberFormat="1" applyFont="1" applyBorder="1"/>
    <xf numFmtId="0" fontId="1" fillId="2" borderId="0" xfId="0" applyFont="1" applyFill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8" fontId="0" fillId="0" borderId="0" xfId="0" applyNumberFormat="1"/>
    <xf numFmtId="1" fontId="0" fillId="0" borderId="0" xfId="0" applyNumberFormat="1"/>
    <xf numFmtId="172" fontId="0" fillId="0" borderId="0" xfId="0" applyNumberFormat="1"/>
    <xf numFmtId="166" fontId="0" fillId="0" borderId="0" xfId="0" applyNumberFormat="1"/>
    <xf numFmtId="165" fontId="0" fillId="0" borderId="0" xfId="0" applyNumberFormat="1"/>
    <xf numFmtId="167" fontId="0" fillId="0" borderId="0" xfId="0" applyNumberFormat="1"/>
    <xf numFmtId="0" fontId="1" fillId="3" borderId="0" xfId="0" applyFont="1" applyFill="1"/>
    <xf numFmtId="165" fontId="3" fillId="0" borderId="0" xfId="0" applyNumberFormat="1" applyFont="1"/>
    <xf numFmtId="10" fontId="3" fillId="0" borderId="0" xfId="0" applyNumberFormat="1" applyFont="1"/>
    <xf numFmtId="10" fontId="0" fillId="0" borderId="0" xfId="0" applyNumberFormat="1"/>
    <xf numFmtId="0" fontId="0" fillId="0" borderId="0" xfId="0" applyAlignment="1">
      <alignment vertical="center"/>
    </xf>
    <xf numFmtId="0" fontId="8" fillId="6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165" fontId="3" fillId="0" borderId="0" xfId="0" applyNumberFormat="1" applyFont="1" applyAlignment="1">
      <alignment vertical="center"/>
    </xf>
    <xf numFmtId="166" fontId="3" fillId="0" borderId="0" xfId="0" applyNumberFormat="1" applyFont="1" applyAlignment="1">
      <alignment vertical="center"/>
    </xf>
    <xf numFmtId="10" fontId="3" fillId="0" borderId="0" xfId="0" applyNumberFormat="1" applyFont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0" fontId="7" fillId="4" borderId="0" xfId="0" applyNumberFormat="1" applyFont="1" applyFill="1" applyAlignment="1">
      <alignment horizontal="center" vertical="center"/>
    </xf>
    <xf numFmtId="168" fontId="7" fillId="4" borderId="0" xfId="0" applyNumberFormat="1" applyFont="1" applyFill="1" applyAlignment="1">
      <alignment horizontal="center" vertical="center"/>
    </xf>
    <xf numFmtId="0" fontId="8" fillId="7" borderId="0" xfId="0" applyFont="1" applyFill="1" applyAlignment="1">
      <alignment vertical="center" wrapText="1"/>
    </xf>
    <xf numFmtId="0" fontId="4" fillId="2" borderId="0" xfId="0" applyFont="1" applyFill="1" applyAlignment="1">
      <alignment horizontal="left" vertical="center"/>
    </xf>
    <xf numFmtId="0" fontId="5" fillId="4" borderId="0" xfId="0" applyFont="1" applyFill="1" applyAlignment="1">
      <alignment vertical="top" wrapText="1"/>
    </xf>
  </cellXfs>
  <cellStyles count="1">
    <cellStyle name="Normal" xfId="0" builtinId="0"/>
  </cellStyles>
  <dxfs count="5">
    <dxf>
      <font>
        <color rgb="FFC00000"/>
      </font>
    </dxf>
    <dxf>
      <fill>
        <patternFill patternType="solid">
          <bgColor rgb="FFFCE4D6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Net Equity</c:v>
          </c:tx>
          <c:marker>
            <c:symbol val="none"/>
          </c:marker>
          <c:cat>
            <c:numRef>
              <c:f>'Chart Data'!$A$2:$A$251</c:f>
              <c:numCache>
                <c:formatCode>yyyy\-mm\-dd</c:formatCode>
                <c:ptCount val="250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45972</c:v>
                </c:pt>
                <c:pt idx="216">
                  <c:v>45973</c:v>
                </c:pt>
                <c:pt idx="217">
                  <c:v>45974</c:v>
                </c:pt>
                <c:pt idx="218">
                  <c:v>45975</c:v>
                </c:pt>
                <c:pt idx="219">
                  <c:v>45978</c:v>
                </c:pt>
                <c:pt idx="220">
                  <c:v>45979</c:v>
                </c:pt>
                <c:pt idx="221">
                  <c:v>45980</c:v>
                </c:pt>
                <c:pt idx="222">
                  <c:v>45981</c:v>
                </c:pt>
                <c:pt idx="223">
                  <c:v>45982</c:v>
                </c:pt>
                <c:pt idx="224">
                  <c:v>45985</c:v>
                </c:pt>
                <c:pt idx="225">
                  <c:v>45986</c:v>
                </c:pt>
                <c:pt idx="226">
                  <c:v>45987</c:v>
                </c:pt>
                <c:pt idx="227">
                  <c:v>45989</c:v>
                </c:pt>
                <c:pt idx="228">
                  <c:v>45992</c:v>
                </c:pt>
                <c:pt idx="229">
                  <c:v>45993</c:v>
                </c:pt>
                <c:pt idx="230">
                  <c:v>45994</c:v>
                </c:pt>
                <c:pt idx="231">
                  <c:v>45995</c:v>
                </c:pt>
                <c:pt idx="232">
                  <c:v>45996</c:v>
                </c:pt>
                <c:pt idx="233">
                  <c:v>45999</c:v>
                </c:pt>
                <c:pt idx="234">
                  <c:v>46000</c:v>
                </c:pt>
                <c:pt idx="235">
                  <c:v>46001</c:v>
                </c:pt>
                <c:pt idx="236">
                  <c:v>46002</c:v>
                </c:pt>
                <c:pt idx="237">
                  <c:v>46003</c:v>
                </c:pt>
                <c:pt idx="238">
                  <c:v>46006</c:v>
                </c:pt>
                <c:pt idx="239">
                  <c:v>46007</c:v>
                </c:pt>
                <c:pt idx="240">
                  <c:v>46008</c:v>
                </c:pt>
                <c:pt idx="241">
                  <c:v>46009</c:v>
                </c:pt>
                <c:pt idx="242">
                  <c:v>46010</c:v>
                </c:pt>
                <c:pt idx="243">
                  <c:v>46013</c:v>
                </c:pt>
                <c:pt idx="244">
                  <c:v>46014</c:v>
                </c:pt>
                <c:pt idx="245">
                  <c:v>46015</c:v>
                </c:pt>
                <c:pt idx="246">
                  <c:v>46017</c:v>
                </c:pt>
                <c:pt idx="247">
                  <c:v>46020</c:v>
                </c:pt>
                <c:pt idx="248">
                  <c:v>46021</c:v>
                </c:pt>
                <c:pt idx="249">
                  <c:v>46022</c:v>
                </c:pt>
              </c:numCache>
            </c:numRef>
          </c:cat>
          <c:val>
            <c:numRef>
              <c:f>'Chart Data'!$B$2:$B$251</c:f>
              <c:numCache>
                <c:formatCode>0.0000</c:formatCode>
                <c:ptCount val="25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1.005669162</c:v>
                </c:pt>
                <c:pt idx="11">
                  <c:v>1.0082350360000001</c:v>
                </c:pt>
                <c:pt idx="12">
                  <c:v>1.0150254480000001</c:v>
                </c:pt>
                <c:pt idx="13">
                  <c:v>1.0211781209999999</c:v>
                </c:pt>
                <c:pt idx="14">
                  <c:v>1.0201569429999999</c:v>
                </c:pt>
                <c:pt idx="15">
                  <c:v>1.026353751</c:v>
                </c:pt>
                <c:pt idx="16">
                  <c:v>1.003005087</c:v>
                </c:pt>
                <c:pt idx="17">
                  <c:v>1.0023640380000001</c:v>
                </c:pt>
                <c:pt idx="18">
                  <c:v>1.0121384980000001</c:v>
                </c:pt>
                <c:pt idx="19">
                  <c:v>1.017939529</c:v>
                </c:pt>
                <c:pt idx="20">
                  <c:v>1.012038912</c:v>
                </c:pt>
                <c:pt idx="21">
                  <c:v>1.009576907</c:v>
                </c:pt>
                <c:pt idx="22">
                  <c:v>1.004967988</c:v>
                </c:pt>
                <c:pt idx="23">
                  <c:v>1.0014455680000001</c:v>
                </c:pt>
                <c:pt idx="24">
                  <c:v>0.99302541099999997</c:v>
                </c:pt>
                <c:pt idx="25">
                  <c:v>0.99760236499999999</c:v>
                </c:pt>
                <c:pt idx="26">
                  <c:v>0.99658261699999995</c:v>
                </c:pt>
                <c:pt idx="27">
                  <c:v>0.99766507199999999</c:v>
                </c:pt>
                <c:pt idx="28">
                  <c:v>1.0001956599999999</c:v>
                </c:pt>
                <c:pt idx="29">
                  <c:v>0.999195465</c:v>
                </c:pt>
                <c:pt idx="30">
                  <c:v>0.999195465</c:v>
                </c:pt>
                <c:pt idx="31">
                  <c:v>0.999195465</c:v>
                </c:pt>
                <c:pt idx="32">
                  <c:v>0.95938337399999996</c:v>
                </c:pt>
                <c:pt idx="33">
                  <c:v>0.954592204</c:v>
                </c:pt>
                <c:pt idx="34">
                  <c:v>0.95845972999999995</c:v>
                </c:pt>
                <c:pt idx="35">
                  <c:v>0.95358385999999995</c:v>
                </c:pt>
                <c:pt idx="36">
                  <c:v>0.96031667200000004</c:v>
                </c:pt>
                <c:pt idx="37">
                  <c:v>0.97400903900000002</c:v>
                </c:pt>
                <c:pt idx="38">
                  <c:v>0.97149018300000001</c:v>
                </c:pt>
                <c:pt idx="39">
                  <c:v>0.97051869300000004</c:v>
                </c:pt>
                <c:pt idx="40">
                  <c:v>0.97051869300000004</c:v>
                </c:pt>
                <c:pt idx="41">
                  <c:v>0.97051869300000004</c:v>
                </c:pt>
                <c:pt idx="42">
                  <c:v>0.97051869300000004</c:v>
                </c:pt>
                <c:pt idx="43">
                  <c:v>0.97051869300000004</c:v>
                </c:pt>
                <c:pt idx="44">
                  <c:v>0.97051869300000004</c:v>
                </c:pt>
                <c:pt idx="45">
                  <c:v>0.97051869300000004</c:v>
                </c:pt>
                <c:pt idx="46">
                  <c:v>0.97051869300000004</c:v>
                </c:pt>
                <c:pt idx="47">
                  <c:v>0.97051869300000004</c:v>
                </c:pt>
                <c:pt idx="48">
                  <c:v>0.97051869300000004</c:v>
                </c:pt>
                <c:pt idx="49">
                  <c:v>0.97051869300000004</c:v>
                </c:pt>
                <c:pt idx="50">
                  <c:v>0.97051869300000004</c:v>
                </c:pt>
                <c:pt idx="51">
                  <c:v>0.97051869300000004</c:v>
                </c:pt>
                <c:pt idx="52">
                  <c:v>0.97051869300000004</c:v>
                </c:pt>
                <c:pt idx="53">
                  <c:v>0.97051869300000004</c:v>
                </c:pt>
                <c:pt idx="54">
                  <c:v>0.97051869300000004</c:v>
                </c:pt>
                <c:pt idx="55">
                  <c:v>0.97051869300000004</c:v>
                </c:pt>
                <c:pt idx="56">
                  <c:v>0.97051869300000004</c:v>
                </c:pt>
                <c:pt idx="57">
                  <c:v>0.97051869300000004</c:v>
                </c:pt>
                <c:pt idx="58">
                  <c:v>0.97051869300000004</c:v>
                </c:pt>
                <c:pt idx="59">
                  <c:v>0.97051869300000004</c:v>
                </c:pt>
                <c:pt idx="60">
                  <c:v>0.97051869300000004</c:v>
                </c:pt>
                <c:pt idx="61">
                  <c:v>0.97051869300000004</c:v>
                </c:pt>
                <c:pt idx="62">
                  <c:v>0.97051869300000004</c:v>
                </c:pt>
                <c:pt idx="63">
                  <c:v>0.95622352099999997</c:v>
                </c:pt>
                <c:pt idx="64">
                  <c:v>0.97036911100000001</c:v>
                </c:pt>
                <c:pt idx="65">
                  <c:v>0.94302667600000001</c:v>
                </c:pt>
                <c:pt idx="66">
                  <c:v>0.98596017199999997</c:v>
                </c:pt>
                <c:pt idx="67">
                  <c:v>0.98497421200000002</c:v>
                </c:pt>
                <c:pt idx="68">
                  <c:v>0.98497421200000002</c:v>
                </c:pt>
                <c:pt idx="69">
                  <c:v>0.98879625100000001</c:v>
                </c:pt>
                <c:pt idx="70">
                  <c:v>0.98627830500000002</c:v>
                </c:pt>
                <c:pt idx="71">
                  <c:v>0.976336812</c:v>
                </c:pt>
                <c:pt idx="72">
                  <c:v>0.97469555200000002</c:v>
                </c:pt>
                <c:pt idx="73">
                  <c:v>0.97089449400000005</c:v>
                </c:pt>
                <c:pt idx="74">
                  <c:v>0.95958594600000002</c:v>
                </c:pt>
                <c:pt idx="75">
                  <c:v>0.97171030400000002</c:v>
                </c:pt>
                <c:pt idx="76">
                  <c:v>0.994773091</c:v>
                </c:pt>
                <c:pt idx="77">
                  <c:v>0.99377831800000005</c:v>
                </c:pt>
                <c:pt idx="78">
                  <c:v>0.99377831800000005</c:v>
                </c:pt>
                <c:pt idx="79">
                  <c:v>0.99377831800000005</c:v>
                </c:pt>
                <c:pt idx="80">
                  <c:v>0.99377831800000005</c:v>
                </c:pt>
                <c:pt idx="81">
                  <c:v>0.99377831800000005</c:v>
                </c:pt>
                <c:pt idx="82">
                  <c:v>0.99377831800000005</c:v>
                </c:pt>
                <c:pt idx="83">
                  <c:v>0.99377831800000005</c:v>
                </c:pt>
                <c:pt idx="84">
                  <c:v>0.99377831800000005</c:v>
                </c:pt>
                <c:pt idx="85">
                  <c:v>0.99377831800000005</c:v>
                </c:pt>
                <c:pt idx="86">
                  <c:v>0.99377831800000005</c:v>
                </c:pt>
                <c:pt idx="87">
                  <c:v>0.99377831800000005</c:v>
                </c:pt>
                <c:pt idx="88">
                  <c:v>0.96049720800000005</c:v>
                </c:pt>
                <c:pt idx="89">
                  <c:v>0.96603272699999998</c:v>
                </c:pt>
                <c:pt idx="90">
                  <c:v>0.97378306800000003</c:v>
                </c:pt>
                <c:pt idx="91">
                  <c:v>0.97516900500000003</c:v>
                </c:pt>
                <c:pt idx="92">
                  <c:v>0.97523103300000002</c:v>
                </c:pt>
                <c:pt idx="93">
                  <c:v>0.97125651999999996</c:v>
                </c:pt>
                <c:pt idx="94">
                  <c:v>0.96631595000000003</c:v>
                </c:pt>
                <c:pt idx="95">
                  <c:v>0.96754025099999996</c:v>
                </c:pt>
                <c:pt idx="96">
                  <c:v>0.98669320000000005</c:v>
                </c:pt>
                <c:pt idx="97">
                  <c:v>0.99926680599999995</c:v>
                </c:pt>
                <c:pt idx="98">
                  <c:v>0.989067064</c:v>
                </c:pt>
                <c:pt idx="99">
                  <c:v>0.98126095999999996</c:v>
                </c:pt>
                <c:pt idx="100">
                  <c:v>0.980279699</c:v>
                </c:pt>
                <c:pt idx="101">
                  <c:v>0.980279699</c:v>
                </c:pt>
                <c:pt idx="102">
                  <c:v>0.980279699</c:v>
                </c:pt>
                <c:pt idx="103">
                  <c:v>0.980279699</c:v>
                </c:pt>
                <c:pt idx="104">
                  <c:v>0.980279699</c:v>
                </c:pt>
                <c:pt idx="105">
                  <c:v>0.980279699</c:v>
                </c:pt>
                <c:pt idx="106">
                  <c:v>0.980279699</c:v>
                </c:pt>
                <c:pt idx="107">
                  <c:v>0.980279699</c:v>
                </c:pt>
                <c:pt idx="108">
                  <c:v>0.97116858299999997</c:v>
                </c:pt>
                <c:pt idx="109">
                  <c:v>0.98453933699999996</c:v>
                </c:pt>
                <c:pt idx="110">
                  <c:v>0.98523364499999999</c:v>
                </c:pt>
                <c:pt idx="111">
                  <c:v>0.99133443600000004</c:v>
                </c:pt>
                <c:pt idx="112">
                  <c:v>0.99034310199999998</c:v>
                </c:pt>
                <c:pt idx="113">
                  <c:v>0.99034310199999998</c:v>
                </c:pt>
                <c:pt idx="114">
                  <c:v>0.99034310199999998</c:v>
                </c:pt>
                <c:pt idx="115">
                  <c:v>0.99034310199999998</c:v>
                </c:pt>
                <c:pt idx="116">
                  <c:v>0.99034310199999998</c:v>
                </c:pt>
                <c:pt idx="117">
                  <c:v>0.99034310199999998</c:v>
                </c:pt>
                <c:pt idx="118">
                  <c:v>0.99034310199999998</c:v>
                </c:pt>
                <c:pt idx="119">
                  <c:v>0.99034310199999998</c:v>
                </c:pt>
                <c:pt idx="120">
                  <c:v>0.99034310199999998</c:v>
                </c:pt>
                <c:pt idx="121">
                  <c:v>0.99034310199999998</c:v>
                </c:pt>
                <c:pt idx="122">
                  <c:v>0.99781792000000002</c:v>
                </c:pt>
                <c:pt idx="123">
                  <c:v>1.0061058839999999</c:v>
                </c:pt>
                <c:pt idx="124">
                  <c:v>1.0050997779999999</c:v>
                </c:pt>
                <c:pt idx="125">
                  <c:v>1.0050997779999999</c:v>
                </c:pt>
                <c:pt idx="126">
                  <c:v>1.0050997779999999</c:v>
                </c:pt>
                <c:pt idx="127">
                  <c:v>1.004312232</c:v>
                </c:pt>
                <c:pt idx="128">
                  <c:v>1.0029984409999999</c:v>
                </c:pt>
                <c:pt idx="129">
                  <c:v>0.99630642000000003</c:v>
                </c:pt>
                <c:pt idx="130">
                  <c:v>1.004358592</c:v>
                </c:pt>
                <c:pt idx="131">
                  <c:v>1.002493222</c:v>
                </c:pt>
                <c:pt idx="132">
                  <c:v>1.0108510449999999</c:v>
                </c:pt>
                <c:pt idx="133">
                  <c:v>1.0098401939999999</c:v>
                </c:pt>
                <c:pt idx="134">
                  <c:v>1.0098401939999999</c:v>
                </c:pt>
                <c:pt idx="135">
                  <c:v>1.0098401939999999</c:v>
                </c:pt>
                <c:pt idx="136">
                  <c:v>1.0098401939999999</c:v>
                </c:pt>
                <c:pt idx="137">
                  <c:v>1.0098401939999999</c:v>
                </c:pt>
                <c:pt idx="138">
                  <c:v>1.006116483</c:v>
                </c:pt>
                <c:pt idx="139">
                  <c:v>0.997742036</c:v>
                </c:pt>
                <c:pt idx="140">
                  <c:v>1.0134059120000001</c:v>
                </c:pt>
                <c:pt idx="141">
                  <c:v>1.0142260620000001</c:v>
                </c:pt>
                <c:pt idx="142">
                  <c:v>1.009674363</c:v>
                </c:pt>
                <c:pt idx="143">
                  <c:v>0.99369471300000001</c:v>
                </c:pt>
                <c:pt idx="144">
                  <c:v>1.002121737</c:v>
                </c:pt>
                <c:pt idx="145">
                  <c:v>0.99690856400000005</c:v>
                </c:pt>
                <c:pt idx="146">
                  <c:v>1.007959005</c:v>
                </c:pt>
                <c:pt idx="147">
                  <c:v>1.006951046</c:v>
                </c:pt>
                <c:pt idx="148">
                  <c:v>1.006951046</c:v>
                </c:pt>
                <c:pt idx="149">
                  <c:v>1.006951046</c:v>
                </c:pt>
                <c:pt idx="150">
                  <c:v>1.006951046</c:v>
                </c:pt>
                <c:pt idx="151">
                  <c:v>1.006951046</c:v>
                </c:pt>
                <c:pt idx="152">
                  <c:v>1.006951046</c:v>
                </c:pt>
                <c:pt idx="153">
                  <c:v>1.006951046</c:v>
                </c:pt>
                <c:pt idx="154">
                  <c:v>1.006951046</c:v>
                </c:pt>
                <c:pt idx="155">
                  <c:v>1.006773731</c:v>
                </c:pt>
                <c:pt idx="156">
                  <c:v>0.99623413900000002</c:v>
                </c:pt>
                <c:pt idx="157">
                  <c:v>0.98223699900000006</c:v>
                </c:pt>
                <c:pt idx="158">
                  <c:v>0.97955551699999999</c:v>
                </c:pt>
                <c:pt idx="159">
                  <c:v>0.98054061199999998</c:v>
                </c:pt>
                <c:pt idx="160">
                  <c:v>0.97896793800000004</c:v>
                </c:pt>
                <c:pt idx="161">
                  <c:v>0.98488145599999999</c:v>
                </c:pt>
                <c:pt idx="162">
                  <c:v>0.98665681199999999</c:v>
                </c:pt>
                <c:pt idx="163">
                  <c:v>0.99124049400000003</c:v>
                </c:pt>
                <c:pt idx="164">
                  <c:v>0.990249253</c:v>
                </c:pt>
                <c:pt idx="165">
                  <c:v>0.990249253</c:v>
                </c:pt>
                <c:pt idx="166">
                  <c:v>0.990249253</c:v>
                </c:pt>
                <c:pt idx="167">
                  <c:v>0.990249253</c:v>
                </c:pt>
                <c:pt idx="168">
                  <c:v>0.99769028800000004</c:v>
                </c:pt>
                <c:pt idx="169">
                  <c:v>0.98941026399999998</c:v>
                </c:pt>
                <c:pt idx="170">
                  <c:v>0.97336951900000002</c:v>
                </c:pt>
                <c:pt idx="171">
                  <c:v>0.96712213599999997</c:v>
                </c:pt>
                <c:pt idx="172">
                  <c:v>0.95889867600000001</c:v>
                </c:pt>
                <c:pt idx="173">
                  <c:v>0.95697973999999997</c:v>
                </c:pt>
                <c:pt idx="174">
                  <c:v>0.94113199199999997</c:v>
                </c:pt>
                <c:pt idx="175">
                  <c:v>0.94033650300000005</c:v>
                </c:pt>
                <c:pt idx="176">
                  <c:v>0.94233447000000004</c:v>
                </c:pt>
                <c:pt idx="177">
                  <c:v>0.93991804000000001</c:v>
                </c:pt>
                <c:pt idx="178">
                  <c:v>0.93363834300000004</c:v>
                </c:pt>
                <c:pt idx="179">
                  <c:v>0.93396748699999999</c:v>
                </c:pt>
                <c:pt idx="180">
                  <c:v>0.93984374699999995</c:v>
                </c:pt>
                <c:pt idx="181">
                  <c:v>0.95411534600000003</c:v>
                </c:pt>
                <c:pt idx="182">
                  <c:v>0.95316123100000005</c:v>
                </c:pt>
                <c:pt idx="183">
                  <c:v>0.95316123100000005</c:v>
                </c:pt>
                <c:pt idx="184">
                  <c:v>0.95316123100000005</c:v>
                </c:pt>
                <c:pt idx="185">
                  <c:v>0.95316123100000005</c:v>
                </c:pt>
                <c:pt idx="186">
                  <c:v>0.95316123100000005</c:v>
                </c:pt>
                <c:pt idx="187">
                  <c:v>0.95316123100000005</c:v>
                </c:pt>
                <c:pt idx="188">
                  <c:v>0.95316123100000005</c:v>
                </c:pt>
                <c:pt idx="189">
                  <c:v>0.95316123100000005</c:v>
                </c:pt>
                <c:pt idx="190">
                  <c:v>0.95316123100000005</c:v>
                </c:pt>
                <c:pt idx="191">
                  <c:v>0.95316123100000005</c:v>
                </c:pt>
                <c:pt idx="192">
                  <c:v>0.95316123100000005</c:v>
                </c:pt>
                <c:pt idx="193">
                  <c:v>0.95316123100000005</c:v>
                </c:pt>
                <c:pt idx="194">
                  <c:v>0.95316123100000005</c:v>
                </c:pt>
                <c:pt idx="195">
                  <c:v>0.95316123100000005</c:v>
                </c:pt>
                <c:pt idx="196">
                  <c:v>0.95316123100000005</c:v>
                </c:pt>
                <c:pt idx="197">
                  <c:v>0.95316123100000005</c:v>
                </c:pt>
                <c:pt idx="198">
                  <c:v>0.95316123100000005</c:v>
                </c:pt>
                <c:pt idx="199">
                  <c:v>0.95316123100000005</c:v>
                </c:pt>
                <c:pt idx="200">
                  <c:v>0.95316123100000005</c:v>
                </c:pt>
                <c:pt idx="201">
                  <c:v>0.95316123100000005</c:v>
                </c:pt>
                <c:pt idx="202">
                  <c:v>0.95316123100000005</c:v>
                </c:pt>
                <c:pt idx="203">
                  <c:v>0.95316123100000005</c:v>
                </c:pt>
                <c:pt idx="204">
                  <c:v>0.94922519299999997</c:v>
                </c:pt>
                <c:pt idx="205">
                  <c:v>0.94105007500000004</c:v>
                </c:pt>
                <c:pt idx="206">
                  <c:v>0.92825877700000003</c:v>
                </c:pt>
                <c:pt idx="207">
                  <c:v>0.92458178099999999</c:v>
                </c:pt>
                <c:pt idx="208">
                  <c:v>0.93165561200000002</c:v>
                </c:pt>
                <c:pt idx="209">
                  <c:v>0.93400696800000005</c:v>
                </c:pt>
                <c:pt idx="210">
                  <c:v>0.92487094700000005</c:v>
                </c:pt>
                <c:pt idx="211">
                  <c:v>0.93519197099999996</c:v>
                </c:pt>
                <c:pt idx="212">
                  <c:v>0.93247308100000004</c:v>
                </c:pt>
                <c:pt idx="213">
                  <c:v>0.93091592700000003</c:v>
                </c:pt>
                <c:pt idx="214">
                  <c:v>0.92998501099999997</c:v>
                </c:pt>
                <c:pt idx="215">
                  <c:v>0.92998501099999997</c:v>
                </c:pt>
                <c:pt idx="216">
                  <c:v>0.92998501099999997</c:v>
                </c:pt>
                <c:pt idx="217">
                  <c:v>0.94642072200000005</c:v>
                </c:pt>
                <c:pt idx="218">
                  <c:v>0.94547430099999996</c:v>
                </c:pt>
                <c:pt idx="219">
                  <c:v>0.94547430099999996</c:v>
                </c:pt>
                <c:pt idx="220">
                  <c:v>0.94547430099999996</c:v>
                </c:pt>
                <c:pt idx="221">
                  <c:v>0.94547430099999996</c:v>
                </c:pt>
                <c:pt idx="222">
                  <c:v>0.94547430099999996</c:v>
                </c:pt>
                <c:pt idx="223">
                  <c:v>0.94547430099999996</c:v>
                </c:pt>
                <c:pt idx="224">
                  <c:v>0.94547430099999996</c:v>
                </c:pt>
                <c:pt idx="225">
                  <c:v>0.94547430099999996</c:v>
                </c:pt>
                <c:pt idx="226">
                  <c:v>0.94547430099999996</c:v>
                </c:pt>
                <c:pt idx="227">
                  <c:v>0.94547430099999996</c:v>
                </c:pt>
                <c:pt idx="228">
                  <c:v>0.94547430099999996</c:v>
                </c:pt>
                <c:pt idx="229">
                  <c:v>0.94547430099999996</c:v>
                </c:pt>
                <c:pt idx="230">
                  <c:v>0.93752015799999999</c:v>
                </c:pt>
                <c:pt idx="231">
                  <c:v>0.94456461400000002</c:v>
                </c:pt>
                <c:pt idx="232">
                  <c:v>0.94784780999999996</c:v>
                </c:pt>
                <c:pt idx="233">
                  <c:v>0.95876943400000003</c:v>
                </c:pt>
                <c:pt idx="234">
                  <c:v>0.95781066500000001</c:v>
                </c:pt>
                <c:pt idx="235">
                  <c:v>0.95781066500000001</c:v>
                </c:pt>
                <c:pt idx="236">
                  <c:v>0.95781066500000001</c:v>
                </c:pt>
                <c:pt idx="237">
                  <c:v>0.95781066500000001</c:v>
                </c:pt>
                <c:pt idx="238">
                  <c:v>0.95781066500000001</c:v>
                </c:pt>
                <c:pt idx="239">
                  <c:v>0.95781066500000001</c:v>
                </c:pt>
                <c:pt idx="240">
                  <c:v>0.95781066500000001</c:v>
                </c:pt>
                <c:pt idx="241">
                  <c:v>0.95781066500000001</c:v>
                </c:pt>
                <c:pt idx="242">
                  <c:v>0.95781066500000001</c:v>
                </c:pt>
                <c:pt idx="243">
                  <c:v>0.95781066500000001</c:v>
                </c:pt>
                <c:pt idx="244">
                  <c:v>0.95781066500000001</c:v>
                </c:pt>
                <c:pt idx="245">
                  <c:v>0.95781066500000001</c:v>
                </c:pt>
                <c:pt idx="246">
                  <c:v>0.95781066500000001</c:v>
                </c:pt>
                <c:pt idx="247">
                  <c:v>0.95781066500000001</c:v>
                </c:pt>
                <c:pt idx="248">
                  <c:v>0.95781066500000001</c:v>
                </c:pt>
                <c:pt idx="249">
                  <c:v>0.95781066500000001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955-4A26-AFA2-D17506C02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\-dd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Drawdown</c:v>
          </c:tx>
          <c:marker>
            <c:symbol val="none"/>
          </c:marker>
          <c:cat>
            <c:numRef>
              <c:f>'Chart Data'!$A$2:$A$251</c:f>
              <c:numCache>
                <c:formatCode>yyyy\-mm\-dd</c:formatCode>
                <c:ptCount val="250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45667</c:v>
                </c:pt>
                <c:pt idx="6">
                  <c:v>45670</c:v>
                </c:pt>
                <c:pt idx="7">
                  <c:v>45671</c:v>
                </c:pt>
                <c:pt idx="8">
                  <c:v>45672</c:v>
                </c:pt>
                <c:pt idx="9">
                  <c:v>45673</c:v>
                </c:pt>
                <c:pt idx="10">
                  <c:v>45674</c:v>
                </c:pt>
                <c:pt idx="11">
                  <c:v>45678</c:v>
                </c:pt>
                <c:pt idx="12">
                  <c:v>45679</c:v>
                </c:pt>
                <c:pt idx="13">
                  <c:v>45680</c:v>
                </c:pt>
                <c:pt idx="14">
                  <c:v>45681</c:v>
                </c:pt>
                <c:pt idx="15">
                  <c:v>45684</c:v>
                </c:pt>
                <c:pt idx="16">
                  <c:v>45685</c:v>
                </c:pt>
                <c:pt idx="17">
                  <c:v>45686</c:v>
                </c:pt>
                <c:pt idx="18">
                  <c:v>45687</c:v>
                </c:pt>
                <c:pt idx="19">
                  <c:v>45688</c:v>
                </c:pt>
                <c:pt idx="20">
                  <c:v>45691</c:v>
                </c:pt>
                <c:pt idx="21">
                  <c:v>45692</c:v>
                </c:pt>
                <c:pt idx="22">
                  <c:v>45693</c:v>
                </c:pt>
                <c:pt idx="23">
                  <c:v>45694</c:v>
                </c:pt>
                <c:pt idx="24">
                  <c:v>45695</c:v>
                </c:pt>
                <c:pt idx="25">
                  <c:v>45698</c:v>
                </c:pt>
                <c:pt idx="26">
                  <c:v>45699</c:v>
                </c:pt>
                <c:pt idx="27">
                  <c:v>45700</c:v>
                </c:pt>
                <c:pt idx="28">
                  <c:v>45701</c:v>
                </c:pt>
                <c:pt idx="29">
                  <c:v>45702</c:v>
                </c:pt>
                <c:pt idx="30">
                  <c:v>45706</c:v>
                </c:pt>
                <c:pt idx="31">
                  <c:v>45707</c:v>
                </c:pt>
                <c:pt idx="32">
                  <c:v>45708</c:v>
                </c:pt>
                <c:pt idx="33">
                  <c:v>45709</c:v>
                </c:pt>
                <c:pt idx="34">
                  <c:v>45712</c:v>
                </c:pt>
                <c:pt idx="35">
                  <c:v>45713</c:v>
                </c:pt>
                <c:pt idx="36">
                  <c:v>45714</c:v>
                </c:pt>
                <c:pt idx="37">
                  <c:v>45715</c:v>
                </c:pt>
                <c:pt idx="38">
                  <c:v>45716</c:v>
                </c:pt>
                <c:pt idx="39">
                  <c:v>45719</c:v>
                </c:pt>
                <c:pt idx="40">
                  <c:v>45720</c:v>
                </c:pt>
                <c:pt idx="41">
                  <c:v>45721</c:v>
                </c:pt>
                <c:pt idx="42">
                  <c:v>45722</c:v>
                </c:pt>
                <c:pt idx="43">
                  <c:v>45723</c:v>
                </c:pt>
                <c:pt idx="44">
                  <c:v>45726</c:v>
                </c:pt>
                <c:pt idx="45">
                  <c:v>45727</c:v>
                </c:pt>
                <c:pt idx="46">
                  <c:v>45728</c:v>
                </c:pt>
                <c:pt idx="47">
                  <c:v>45729</c:v>
                </c:pt>
                <c:pt idx="48">
                  <c:v>45730</c:v>
                </c:pt>
                <c:pt idx="49">
                  <c:v>45733</c:v>
                </c:pt>
                <c:pt idx="50">
                  <c:v>45734</c:v>
                </c:pt>
                <c:pt idx="51">
                  <c:v>45735</c:v>
                </c:pt>
                <c:pt idx="52">
                  <c:v>45736</c:v>
                </c:pt>
                <c:pt idx="53">
                  <c:v>45737</c:v>
                </c:pt>
                <c:pt idx="54">
                  <c:v>45740</c:v>
                </c:pt>
                <c:pt idx="55">
                  <c:v>45741</c:v>
                </c:pt>
                <c:pt idx="56">
                  <c:v>45742</c:v>
                </c:pt>
                <c:pt idx="57">
                  <c:v>45743</c:v>
                </c:pt>
                <c:pt idx="58">
                  <c:v>45744</c:v>
                </c:pt>
                <c:pt idx="59">
                  <c:v>45747</c:v>
                </c:pt>
                <c:pt idx="60">
                  <c:v>45748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45756</c:v>
                </c:pt>
                <c:pt idx="67">
                  <c:v>45757</c:v>
                </c:pt>
                <c:pt idx="68">
                  <c:v>45758</c:v>
                </c:pt>
                <c:pt idx="69">
                  <c:v>45761</c:v>
                </c:pt>
                <c:pt idx="70">
                  <c:v>45762</c:v>
                </c:pt>
                <c:pt idx="71">
                  <c:v>45763</c:v>
                </c:pt>
                <c:pt idx="72">
                  <c:v>45764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45778</c:v>
                </c:pt>
                <c:pt idx="82">
                  <c:v>45779</c:v>
                </c:pt>
                <c:pt idx="83">
                  <c:v>45782</c:v>
                </c:pt>
                <c:pt idx="84">
                  <c:v>45783</c:v>
                </c:pt>
                <c:pt idx="85">
                  <c:v>45784</c:v>
                </c:pt>
                <c:pt idx="86">
                  <c:v>45785</c:v>
                </c:pt>
                <c:pt idx="87">
                  <c:v>45786</c:v>
                </c:pt>
                <c:pt idx="88">
                  <c:v>45789</c:v>
                </c:pt>
                <c:pt idx="89">
                  <c:v>45790</c:v>
                </c:pt>
                <c:pt idx="90">
                  <c:v>45791</c:v>
                </c:pt>
                <c:pt idx="91">
                  <c:v>45792</c:v>
                </c:pt>
                <c:pt idx="92">
                  <c:v>45793</c:v>
                </c:pt>
                <c:pt idx="93">
                  <c:v>45796</c:v>
                </c:pt>
                <c:pt idx="94">
                  <c:v>45797</c:v>
                </c:pt>
                <c:pt idx="95">
                  <c:v>45798</c:v>
                </c:pt>
                <c:pt idx="96">
                  <c:v>45799</c:v>
                </c:pt>
                <c:pt idx="97">
                  <c:v>45800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45814</c:v>
                </c:pt>
                <c:pt idx="107">
                  <c:v>45817</c:v>
                </c:pt>
                <c:pt idx="108">
                  <c:v>45818</c:v>
                </c:pt>
                <c:pt idx="109">
                  <c:v>45819</c:v>
                </c:pt>
                <c:pt idx="110">
                  <c:v>45820</c:v>
                </c:pt>
                <c:pt idx="111">
                  <c:v>45821</c:v>
                </c:pt>
                <c:pt idx="112">
                  <c:v>45824</c:v>
                </c:pt>
                <c:pt idx="113">
                  <c:v>45825</c:v>
                </c:pt>
                <c:pt idx="114">
                  <c:v>45826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45834</c:v>
                </c:pt>
                <c:pt idx="120">
                  <c:v>45835</c:v>
                </c:pt>
                <c:pt idx="121">
                  <c:v>45838</c:v>
                </c:pt>
                <c:pt idx="122">
                  <c:v>45839</c:v>
                </c:pt>
                <c:pt idx="123">
                  <c:v>45840</c:v>
                </c:pt>
                <c:pt idx="124">
                  <c:v>45841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45863</c:v>
                </c:pt>
                <c:pt idx="140">
                  <c:v>45866</c:v>
                </c:pt>
                <c:pt idx="141">
                  <c:v>45867</c:v>
                </c:pt>
                <c:pt idx="142">
                  <c:v>45868</c:v>
                </c:pt>
                <c:pt idx="143">
                  <c:v>45869</c:v>
                </c:pt>
                <c:pt idx="144">
                  <c:v>45870</c:v>
                </c:pt>
                <c:pt idx="145">
                  <c:v>45873</c:v>
                </c:pt>
                <c:pt idx="146">
                  <c:v>45874</c:v>
                </c:pt>
                <c:pt idx="147">
                  <c:v>45875</c:v>
                </c:pt>
                <c:pt idx="148">
                  <c:v>45876</c:v>
                </c:pt>
                <c:pt idx="149">
                  <c:v>45877</c:v>
                </c:pt>
                <c:pt idx="150">
                  <c:v>45880</c:v>
                </c:pt>
                <c:pt idx="151">
                  <c:v>45881</c:v>
                </c:pt>
                <c:pt idx="152">
                  <c:v>45882</c:v>
                </c:pt>
                <c:pt idx="153">
                  <c:v>45883</c:v>
                </c:pt>
                <c:pt idx="154">
                  <c:v>45884</c:v>
                </c:pt>
                <c:pt idx="155">
                  <c:v>45887</c:v>
                </c:pt>
                <c:pt idx="156">
                  <c:v>45888</c:v>
                </c:pt>
                <c:pt idx="157">
                  <c:v>45889</c:v>
                </c:pt>
                <c:pt idx="158">
                  <c:v>45890</c:v>
                </c:pt>
                <c:pt idx="159">
                  <c:v>45891</c:v>
                </c:pt>
                <c:pt idx="160">
                  <c:v>45894</c:v>
                </c:pt>
                <c:pt idx="161">
                  <c:v>45895</c:v>
                </c:pt>
                <c:pt idx="162">
                  <c:v>45896</c:v>
                </c:pt>
                <c:pt idx="163">
                  <c:v>45897</c:v>
                </c:pt>
                <c:pt idx="164">
                  <c:v>45898</c:v>
                </c:pt>
                <c:pt idx="165">
                  <c:v>45902</c:v>
                </c:pt>
                <c:pt idx="166">
                  <c:v>45903</c:v>
                </c:pt>
                <c:pt idx="167">
                  <c:v>45904</c:v>
                </c:pt>
                <c:pt idx="168">
                  <c:v>45905</c:v>
                </c:pt>
                <c:pt idx="169">
                  <c:v>45908</c:v>
                </c:pt>
                <c:pt idx="170">
                  <c:v>45909</c:v>
                </c:pt>
                <c:pt idx="171">
                  <c:v>45910</c:v>
                </c:pt>
                <c:pt idx="172">
                  <c:v>45911</c:v>
                </c:pt>
                <c:pt idx="173">
                  <c:v>45912</c:v>
                </c:pt>
                <c:pt idx="174">
                  <c:v>45915</c:v>
                </c:pt>
                <c:pt idx="175">
                  <c:v>45916</c:v>
                </c:pt>
                <c:pt idx="176">
                  <c:v>45917</c:v>
                </c:pt>
                <c:pt idx="177">
                  <c:v>45918</c:v>
                </c:pt>
                <c:pt idx="178">
                  <c:v>45919</c:v>
                </c:pt>
                <c:pt idx="179">
                  <c:v>45922</c:v>
                </c:pt>
                <c:pt idx="180">
                  <c:v>45923</c:v>
                </c:pt>
                <c:pt idx="181">
                  <c:v>45924</c:v>
                </c:pt>
                <c:pt idx="182">
                  <c:v>45925</c:v>
                </c:pt>
                <c:pt idx="183">
                  <c:v>45926</c:v>
                </c:pt>
                <c:pt idx="184">
                  <c:v>45929</c:v>
                </c:pt>
                <c:pt idx="185">
                  <c:v>45930</c:v>
                </c:pt>
                <c:pt idx="186">
                  <c:v>45931</c:v>
                </c:pt>
                <c:pt idx="187">
                  <c:v>45932</c:v>
                </c:pt>
                <c:pt idx="188">
                  <c:v>45933</c:v>
                </c:pt>
                <c:pt idx="189">
                  <c:v>45936</c:v>
                </c:pt>
                <c:pt idx="190">
                  <c:v>45937</c:v>
                </c:pt>
                <c:pt idx="191">
                  <c:v>45938</c:v>
                </c:pt>
                <c:pt idx="192">
                  <c:v>45939</c:v>
                </c:pt>
                <c:pt idx="193">
                  <c:v>45940</c:v>
                </c:pt>
                <c:pt idx="194">
                  <c:v>45943</c:v>
                </c:pt>
                <c:pt idx="195">
                  <c:v>45944</c:v>
                </c:pt>
                <c:pt idx="196">
                  <c:v>45945</c:v>
                </c:pt>
                <c:pt idx="197">
                  <c:v>45946</c:v>
                </c:pt>
                <c:pt idx="198">
                  <c:v>45947</c:v>
                </c:pt>
                <c:pt idx="199">
                  <c:v>45950</c:v>
                </c:pt>
                <c:pt idx="200">
                  <c:v>45951</c:v>
                </c:pt>
                <c:pt idx="201">
                  <c:v>45952</c:v>
                </c:pt>
                <c:pt idx="202">
                  <c:v>45953</c:v>
                </c:pt>
                <c:pt idx="203">
                  <c:v>45954</c:v>
                </c:pt>
                <c:pt idx="204">
                  <c:v>45957</c:v>
                </c:pt>
                <c:pt idx="205">
                  <c:v>45958</c:v>
                </c:pt>
                <c:pt idx="206">
                  <c:v>45959</c:v>
                </c:pt>
                <c:pt idx="207">
                  <c:v>45960</c:v>
                </c:pt>
                <c:pt idx="208">
                  <c:v>45961</c:v>
                </c:pt>
                <c:pt idx="209">
                  <c:v>45964</c:v>
                </c:pt>
                <c:pt idx="210">
                  <c:v>45965</c:v>
                </c:pt>
                <c:pt idx="211">
                  <c:v>45966</c:v>
                </c:pt>
                <c:pt idx="212">
                  <c:v>45967</c:v>
                </c:pt>
                <c:pt idx="213">
                  <c:v>45968</c:v>
                </c:pt>
                <c:pt idx="214">
                  <c:v>45971</c:v>
                </c:pt>
                <c:pt idx="215">
                  <c:v>45972</c:v>
                </c:pt>
                <c:pt idx="216">
                  <c:v>45973</c:v>
                </c:pt>
                <c:pt idx="217">
                  <c:v>45974</c:v>
                </c:pt>
                <c:pt idx="218">
                  <c:v>45975</c:v>
                </c:pt>
                <c:pt idx="219">
                  <c:v>45978</c:v>
                </c:pt>
                <c:pt idx="220">
                  <c:v>45979</c:v>
                </c:pt>
                <c:pt idx="221">
                  <c:v>45980</c:v>
                </c:pt>
                <c:pt idx="222">
                  <c:v>45981</c:v>
                </c:pt>
                <c:pt idx="223">
                  <c:v>45982</c:v>
                </c:pt>
                <c:pt idx="224">
                  <c:v>45985</c:v>
                </c:pt>
                <c:pt idx="225">
                  <c:v>45986</c:v>
                </c:pt>
                <c:pt idx="226">
                  <c:v>45987</c:v>
                </c:pt>
                <c:pt idx="227">
                  <c:v>45989</c:v>
                </c:pt>
                <c:pt idx="228">
                  <c:v>45992</c:v>
                </c:pt>
                <c:pt idx="229">
                  <c:v>45993</c:v>
                </c:pt>
                <c:pt idx="230">
                  <c:v>45994</c:v>
                </c:pt>
                <c:pt idx="231">
                  <c:v>45995</c:v>
                </c:pt>
                <c:pt idx="232">
                  <c:v>45996</c:v>
                </c:pt>
                <c:pt idx="233">
                  <c:v>45999</c:v>
                </c:pt>
                <c:pt idx="234">
                  <c:v>46000</c:v>
                </c:pt>
                <c:pt idx="235">
                  <c:v>46001</c:v>
                </c:pt>
                <c:pt idx="236">
                  <c:v>46002</c:v>
                </c:pt>
                <c:pt idx="237">
                  <c:v>46003</c:v>
                </c:pt>
                <c:pt idx="238">
                  <c:v>46006</c:v>
                </c:pt>
                <c:pt idx="239">
                  <c:v>46007</c:v>
                </c:pt>
                <c:pt idx="240">
                  <c:v>46008</c:v>
                </c:pt>
                <c:pt idx="241">
                  <c:v>46009</c:v>
                </c:pt>
                <c:pt idx="242">
                  <c:v>46010</c:v>
                </c:pt>
                <c:pt idx="243">
                  <c:v>46013</c:v>
                </c:pt>
                <c:pt idx="244">
                  <c:v>46014</c:v>
                </c:pt>
                <c:pt idx="245">
                  <c:v>46015</c:v>
                </c:pt>
                <c:pt idx="246">
                  <c:v>46017</c:v>
                </c:pt>
                <c:pt idx="247">
                  <c:v>46020</c:v>
                </c:pt>
                <c:pt idx="248">
                  <c:v>46021</c:v>
                </c:pt>
                <c:pt idx="249">
                  <c:v>46022</c:v>
                </c:pt>
              </c:numCache>
            </c:numRef>
          </c:cat>
          <c:val>
            <c:numRef>
              <c:f>'Chart Data'!$C$2:$C$251</c:f>
              <c:numCache>
                <c:formatCode>0.00%</c:formatCode>
                <c:ptCount val="2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-1E-3</c:v>
                </c:pt>
                <c:pt idx="15">
                  <c:v>0</c:v>
                </c:pt>
                <c:pt idx="16">
                  <c:v>-2.2749139000000002E-2</c:v>
                </c:pt>
                <c:pt idx="17">
                  <c:v>-2.3373727E-2</c:v>
                </c:pt>
                <c:pt idx="18">
                  <c:v>-1.3850247E-2</c:v>
                </c:pt>
                <c:pt idx="19">
                  <c:v>-8.1981689999999999E-3</c:v>
                </c:pt>
                <c:pt idx="20">
                  <c:v>-1.3947276E-2</c:v>
                </c:pt>
                <c:pt idx="21">
                  <c:v>-1.6346064E-2</c:v>
                </c:pt>
                <c:pt idx="22">
                  <c:v>-2.0836639000000001E-2</c:v>
                </c:pt>
                <c:pt idx="23">
                  <c:v>-2.4268614000000001E-2</c:v>
                </c:pt>
                <c:pt idx="24">
                  <c:v>-3.2472566000000001E-2</c:v>
                </c:pt>
                <c:pt idx="25">
                  <c:v>-2.8013135000000002E-2</c:v>
                </c:pt>
                <c:pt idx="26">
                  <c:v>-2.9006699E-2</c:v>
                </c:pt>
                <c:pt idx="27">
                  <c:v>-2.7952037999999998E-2</c:v>
                </c:pt>
                <c:pt idx="28">
                  <c:v>-2.5486427999999998E-2</c:v>
                </c:pt>
                <c:pt idx="29">
                  <c:v>-2.6460941000000002E-2</c:v>
                </c:pt>
                <c:pt idx="30">
                  <c:v>-2.6460941000000002E-2</c:v>
                </c:pt>
                <c:pt idx="31">
                  <c:v>-2.6460941000000002E-2</c:v>
                </c:pt>
                <c:pt idx="32">
                  <c:v>-6.5250773999999997E-2</c:v>
                </c:pt>
                <c:pt idx="33">
                  <c:v>-6.9918920999999995E-2</c:v>
                </c:pt>
                <c:pt idx="34">
                  <c:v>-6.6150702000000006E-2</c:v>
                </c:pt>
                <c:pt idx="35">
                  <c:v>-7.0901373000000004E-2</c:v>
                </c:pt>
                <c:pt idx="36">
                  <c:v>-6.4341440999999999E-2</c:v>
                </c:pt>
                <c:pt idx="37">
                  <c:v>-5.1000653999999999E-2</c:v>
                </c:pt>
                <c:pt idx="38">
                  <c:v>-5.3454833E-2</c:v>
                </c:pt>
                <c:pt idx="39">
                  <c:v>-5.4401378E-2</c:v>
                </c:pt>
                <c:pt idx="40">
                  <c:v>-5.4401378E-2</c:v>
                </c:pt>
                <c:pt idx="41">
                  <c:v>-5.4401378E-2</c:v>
                </c:pt>
                <c:pt idx="42">
                  <c:v>-5.4401378E-2</c:v>
                </c:pt>
                <c:pt idx="43">
                  <c:v>-5.4401378E-2</c:v>
                </c:pt>
                <c:pt idx="44">
                  <c:v>-5.4401378E-2</c:v>
                </c:pt>
                <c:pt idx="45">
                  <c:v>-5.4401378E-2</c:v>
                </c:pt>
                <c:pt idx="46">
                  <c:v>-5.4401378E-2</c:v>
                </c:pt>
                <c:pt idx="47">
                  <c:v>-5.4401378E-2</c:v>
                </c:pt>
                <c:pt idx="48">
                  <c:v>-5.4401378E-2</c:v>
                </c:pt>
                <c:pt idx="49">
                  <c:v>-5.4401378E-2</c:v>
                </c:pt>
                <c:pt idx="50">
                  <c:v>-5.4401378E-2</c:v>
                </c:pt>
                <c:pt idx="51">
                  <c:v>-5.4401378E-2</c:v>
                </c:pt>
                <c:pt idx="52">
                  <c:v>-5.4401378E-2</c:v>
                </c:pt>
                <c:pt idx="53">
                  <c:v>-5.4401378E-2</c:v>
                </c:pt>
                <c:pt idx="54">
                  <c:v>-5.4401378E-2</c:v>
                </c:pt>
                <c:pt idx="55">
                  <c:v>-5.4401378E-2</c:v>
                </c:pt>
                <c:pt idx="56">
                  <c:v>-5.4401378E-2</c:v>
                </c:pt>
                <c:pt idx="57">
                  <c:v>-5.4401378E-2</c:v>
                </c:pt>
                <c:pt idx="58">
                  <c:v>-5.4401378E-2</c:v>
                </c:pt>
                <c:pt idx="59">
                  <c:v>-5.4401378E-2</c:v>
                </c:pt>
                <c:pt idx="60">
                  <c:v>-5.4401378E-2</c:v>
                </c:pt>
                <c:pt idx="61">
                  <c:v>-5.4401378E-2</c:v>
                </c:pt>
                <c:pt idx="62">
                  <c:v>-5.4401378E-2</c:v>
                </c:pt>
                <c:pt idx="63">
                  <c:v>-6.8329492000000006E-2</c:v>
                </c:pt>
                <c:pt idx="64">
                  <c:v>-5.4547118999999998E-2</c:v>
                </c:pt>
                <c:pt idx="65">
                  <c:v>-8.1187480000000006E-2</c:v>
                </c:pt>
                <c:pt idx="66">
                  <c:v>-3.9356389999999998E-2</c:v>
                </c:pt>
                <c:pt idx="67">
                  <c:v>-4.0317034000000002E-2</c:v>
                </c:pt>
                <c:pt idx="68">
                  <c:v>-4.0317034000000002E-2</c:v>
                </c:pt>
                <c:pt idx="69">
                  <c:v>-3.6593133E-2</c:v>
                </c:pt>
                <c:pt idx="70">
                  <c:v>-3.9046426000000002E-2</c:v>
                </c:pt>
                <c:pt idx="71">
                  <c:v>-4.8732651000000002E-2</c:v>
                </c:pt>
                <c:pt idx="72">
                  <c:v>-5.0331767999999999E-2</c:v>
                </c:pt>
                <c:pt idx="73">
                  <c:v>-5.4035225999999999E-2</c:v>
                </c:pt>
                <c:pt idx="74">
                  <c:v>-6.5053403999999995E-2</c:v>
                </c:pt>
                <c:pt idx="75">
                  <c:v>-5.3240362999999999E-2</c:v>
                </c:pt>
                <c:pt idx="76">
                  <c:v>-3.0769761E-2</c:v>
                </c:pt>
                <c:pt idx="77">
                  <c:v>-3.1738991000000001E-2</c:v>
                </c:pt>
                <c:pt idx="78">
                  <c:v>-3.1738991000000001E-2</c:v>
                </c:pt>
                <c:pt idx="79">
                  <c:v>-3.1738991000000001E-2</c:v>
                </c:pt>
                <c:pt idx="80">
                  <c:v>-3.1738991000000001E-2</c:v>
                </c:pt>
                <c:pt idx="81">
                  <c:v>-3.1738991000000001E-2</c:v>
                </c:pt>
                <c:pt idx="82">
                  <c:v>-3.1738991000000001E-2</c:v>
                </c:pt>
                <c:pt idx="83">
                  <c:v>-3.1738991000000001E-2</c:v>
                </c:pt>
                <c:pt idx="84">
                  <c:v>-3.1738991000000001E-2</c:v>
                </c:pt>
                <c:pt idx="85">
                  <c:v>-3.1738991000000001E-2</c:v>
                </c:pt>
                <c:pt idx="86">
                  <c:v>-3.1738991000000001E-2</c:v>
                </c:pt>
                <c:pt idx="87">
                  <c:v>-3.1738991000000001E-2</c:v>
                </c:pt>
                <c:pt idx="88">
                  <c:v>-6.4165539999999993E-2</c:v>
                </c:pt>
                <c:pt idx="89">
                  <c:v>-5.8772156999999998E-2</c:v>
                </c:pt>
                <c:pt idx="90">
                  <c:v>-5.1220821999999999E-2</c:v>
                </c:pt>
                <c:pt idx="91">
                  <c:v>-4.9870471999999999E-2</c:v>
                </c:pt>
                <c:pt idx="92">
                  <c:v>-4.9810036000000002E-2</c:v>
                </c:pt>
                <c:pt idx="93">
                  <c:v>-5.3682496000000003E-2</c:v>
                </c:pt>
                <c:pt idx="94">
                  <c:v>-5.8496206000000002E-2</c:v>
                </c:pt>
                <c:pt idx="95">
                  <c:v>-5.7303342E-2</c:v>
                </c:pt>
                <c:pt idx="96">
                  <c:v>-3.8642185000000003E-2</c:v>
                </c:pt>
                <c:pt idx="97">
                  <c:v>-2.6391431999999999E-2</c:v>
                </c:pt>
                <c:pt idx="98">
                  <c:v>-3.6329274000000002E-2</c:v>
                </c:pt>
                <c:pt idx="99">
                  <c:v>-4.3934940999999998E-2</c:v>
                </c:pt>
                <c:pt idx="100">
                  <c:v>-4.4891005999999997E-2</c:v>
                </c:pt>
                <c:pt idx="101">
                  <c:v>-4.4891005999999997E-2</c:v>
                </c:pt>
                <c:pt idx="102">
                  <c:v>-4.4891005999999997E-2</c:v>
                </c:pt>
                <c:pt idx="103">
                  <c:v>-4.4891005999999997E-2</c:v>
                </c:pt>
                <c:pt idx="104">
                  <c:v>-4.4891005999999997E-2</c:v>
                </c:pt>
                <c:pt idx="105">
                  <c:v>-4.4891005999999997E-2</c:v>
                </c:pt>
                <c:pt idx="106">
                  <c:v>-4.4891005999999997E-2</c:v>
                </c:pt>
                <c:pt idx="107">
                  <c:v>-4.4891005999999997E-2</c:v>
                </c:pt>
                <c:pt idx="108">
                  <c:v>-5.3768175000000001E-2</c:v>
                </c:pt>
                <c:pt idx="109">
                  <c:v>-4.0740743000000003E-2</c:v>
                </c:pt>
                <c:pt idx="110">
                  <c:v>-4.0064262000000003E-2</c:v>
                </c:pt>
                <c:pt idx="111">
                  <c:v>-3.4120121000000003E-2</c:v>
                </c:pt>
                <c:pt idx="112">
                  <c:v>-3.5086000999999999E-2</c:v>
                </c:pt>
                <c:pt idx="113">
                  <c:v>-3.5086000999999999E-2</c:v>
                </c:pt>
                <c:pt idx="114">
                  <c:v>-3.5086000999999999E-2</c:v>
                </c:pt>
                <c:pt idx="115">
                  <c:v>-3.5086000999999999E-2</c:v>
                </c:pt>
                <c:pt idx="116">
                  <c:v>-3.5086000999999999E-2</c:v>
                </c:pt>
                <c:pt idx="117">
                  <c:v>-3.5086000999999999E-2</c:v>
                </c:pt>
                <c:pt idx="118">
                  <c:v>-3.5086000999999999E-2</c:v>
                </c:pt>
                <c:pt idx="119">
                  <c:v>-3.5086000999999999E-2</c:v>
                </c:pt>
                <c:pt idx="120">
                  <c:v>-3.5086000999999999E-2</c:v>
                </c:pt>
                <c:pt idx="121">
                  <c:v>-3.5086000999999999E-2</c:v>
                </c:pt>
                <c:pt idx="122">
                  <c:v>-2.7803115E-2</c:v>
                </c:pt>
                <c:pt idx="123">
                  <c:v>-1.9727960999999999E-2</c:v>
                </c:pt>
                <c:pt idx="124">
                  <c:v>-2.0708233E-2</c:v>
                </c:pt>
                <c:pt idx="125">
                  <c:v>-2.0708233E-2</c:v>
                </c:pt>
                <c:pt idx="126">
                  <c:v>-2.0708233E-2</c:v>
                </c:pt>
                <c:pt idx="127">
                  <c:v>-2.1475556999999999E-2</c:v>
                </c:pt>
                <c:pt idx="128">
                  <c:v>-2.2755614E-2</c:v>
                </c:pt>
                <c:pt idx="129">
                  <c:v>-2.9275803999999999E-2</c:v>
                </c:pt>
                <c:pt idx="130">
                  <c:v>-2.1430386999999999E-2</c:v>
                </c:pt>
                <c:pt idx="131">
                  <c:v>-2.3247861000000002E-2</c:v>
                </c:pt>
                <c:pt idx="132">
                  <c:v>-1.5104642E-2</c:v>
                </c:pt>
                <c:pt idx="133">
                  <c:v>-1.6089538E-2</c:v>
                </c:pt>
                <c:pt idx="134">
                  <c:v>-1.6089538E-2</c:v>
                </c:pt>
                <c:pt idx="135">
                  <c:v>-1.6089538E-2</c:v>
                </c:pt>
                <c:pt idx="136">
                  <c:v>-1.6089538E-2</c:v>
                </c:pt>
                <c:pt idx="137">
                  <c:v>-1.6089538E-2</c:v>
                </c:pt>
                <c:pt idx="138">
                  <c:v>-1.9717634000000001E-2</c:v>
                </c:pt>
                <c:pt idx="139">
                  <c:v>-2.787705E-2</c:v>
                </c:pt>
                <c:pt idx="140">
                  <c:v>-1.2615375999999999E-2</c:v>
                </c:pt>
                <c:pt idx="141">
                  <c:v>-1.1816286E-2</c:v>
                </c:pt>
                <c:pt idx="142">
                  <c:v>-1.6251109999999999E-2</c:v>
                </c:pt>
                <c:pt idx="143">
                  <c:v>-3.1820449000000001E-2</c:v>
                </c:pt>
                <c:pt idx="144">
                  <c:v>-2.3609807E-2</c:v>
                </c:pt>
                <c:pt idx="145">
                  <c:v>-2.8689121000000001E-2</c:v>
                </c:pt>
                <c:pt idx="146">
                  <c:v>-1.7922423E-2</c:v>
                </c:pt>
                <c:pt idx="147">
                  <c:v>-1.8904500000000001E-2</c:v>
                </c:pt>
                <c:pt idx="148">
                  <c:v>-1.8904500000000001E-2</c:v>
                </c:pt>
                <c:pt idx="149">
                  <c:v>-1.8904500000000001E-2</c:v>
                </c:pt>
                <c:pt idx="150">
                  <c:v>-1.8904500000000001E-2</c:v>
                </c:pt>
                <c:pt idx="151">
                  <c:v>-1.8904500000000001E-2</c:v>
                </c:pt>
                <c:pt idx="152">
                  <c:v>-1.8904500000000001E-2</c:v>
                </c:pt>
                <c:pt idx="153">
                  <c:v>-1.8904500000000001E-2</c:v>
                </c:pt>
                <c:pt idx="154">
                  <c:v>-1.8904500000000001E-2</c:v>
                </c:pt>
                <c:pt idx="155">
                  <c:v>-1.9077262000000001E-2</c:v>
                </c:pt>
                <c:pt idx="156">
                  <c:v>-2.9346227999999999E-2</c:v>
                </c:pt>
                <c:pt idx="157">
                  <c:v>-4.2983963E-2</c:v>
                </c:pt>
                <c:pt idx="158">
                  <c:v>-4.5596592999999998E-2</c:v>
                </c:pt>
                <c:pt idx="159">
                  <c:v>-4.4636792000000002E-2</c:v>
                </c:pt>
                <c:pt idx="160">
                  <c:v>-4.6169084999999999E-2</c:v>
                </c:pt>
                <c:pt idx="161">
                  <c:v>-4.0407407999999999E-2</c:v>
                </c:pt>
                <c:pt idx="162">
                  <c:v>-3.8677638E-2</c:v>
                </c:pt>
                <c:pt idx="163">
                  <c:v>-3.4211652000000002E-2</c:v>
                </c:pt>
                <c:pt idx="164">
                  <c:v>-3.5177439999999997E-2</c:v>
                </c:pt>
                <c:pt idx="165">
                  <c:v>-3.5177439999999997E-2</c:v>
                </c:pt>
                <c:pt idx="166">
                  <c:v>-3.5177439999999997E-2</c:v>
                </c:pt>
                <c:pt idx="167">
                  <c:v>-3.5177439999999997E-2</c:v>
                </c:pt>
                <c:pt idx="168">
                  <c:v>-2.7927469E-2</c:v>
                </c:pt>
                <c:pt idx="169">
                  <c:v>-3.5994887000000003E-2</c:v>
                </c:pt>
                <c:pt idx="170">
                  <c:v>-5.1623752000000002E-2</c:v>
                </c:pt>
                <c:pt idx="171">
                  <c:v>-5.7710721E-2</c:v>
                </c:pt>
                <c:pt idx="172">
                  <c:v>-6.5723026000000004E-2</c:v>
                </c:pt>
                <c:pt idx="173">
                  <c:v>-6.7592689999999997E-2</c:v>
                </c:pt>
                <c:pt idx="174">
                  <c:v>-8.3033514000000003E-2</c:v>
                </c:pt>
                <c:pt idx="175">
                  <c:v>-8.3808577999999995E-2</c:v>
                </c:pt>
                <c:pt idx="176">
                  <c:v>-8.1861911999999995E-2</c:v>
                </c:pt>
                <c:pt idx="177">
                  <c:v>-8.4216295999999996E-2</c:v>
                </c:pt>
                <c:pt idx="178">
                  <c:v>-9.0334748000000006E-2</c:v>
                </c:pt>
                <c:pt idx="179">
                  <c:v>-9.0014055999999995E-2</c:v>
                </c:pt>
                <c:pt idx="180">
                  <c:v>-8.4288681000000004E-2</c:v>
                </c:pt>
                <c:pt idx="181">
                  <c:v>-7.0383534999999997E-2</c:v>
                </c:pt>
                <c:pt idx="182">
                  <c:v>-7.1313151000000005E-2</c:v>
                </c:pt>
                <c:pt idx="183">
                  <c:v>-7.1313151000000005E-2</c:v>
                </c:pt>
                <c:pt idx="184">
                  <c:v>-7.1313151000000005E-2</c:v>
                </c:pt>
                <c:pt idx="185">
                  <c:v>-7.1313151000000005E-2</c:v>
                </c:pt>
                <c:pt idx="186">
                  <c:v>-7.1313151000000005E-2</c:v>
                </c:pt>
                <c:pt idx="187">
                  <c:v>-7.1313151000000005E-2</c:v>
                </c:pt>
                <c:pt idx="188">
                  <c:v>-7.1313151000000005E-2</c:v>
                </c:pt>
                <c:pt idx="189">
                  <c:v>-7.1313151000000005E-2</c:v>
                </c:pt>
                <c:pt idx="190">
                  <c:v>-7.1313151000000005E-2</c:v>
                </c:pt>
                <c:pt idx="191">
                  <c:v>-7.1313151000000005E-2</c:v>
                </c:pt>
                <c:pt idx="192">
                  <c:v>-7.1313151000000005E-2</c:v>
                </c:pt>
                <c:pt idx="193">
                  <c:v>-7.1313151000000005E-2</c:v>
                </c:pt>
                <c:pt idx="194">
                  <c:v>-7.1313151000000005E-2</c:v>
                </c:pt>
                <c:pt idx="195">
                  <c:v>-7.1313151000000005E-2</c:v>
                </c:pt>
                <c:pt idx="196">
                  <c:v>-7.1313151000000005E-2</c:v>
                </c:pt>
                <c:pt idx="197">
                  <c:v>-7.1313151000000005E-2</c:v>
                </c:pt>
                <c:pt idx="198">
                  <c:v>-7.1313151000000005E-2</c:v>
                </c:pt>
                <c:pt idx="199">
                  <c:v>-7.1313151000000005E-2</c:v>
                </c:pt>
                <c:pt idx="200">
                  <c:v>-7.1313151000000005E-2</c:v>
                </c:pt>
                <c:pt idx="201">
                  <c:v>-7.1313151000000005E-2</c:v>
                </c:pt>
                <c:pt idx="202">
                  <c:v>-7.1313151000000005E-2</c:v>
                </c:pt>
                <c:pt idx="203">
                  <c:v>-7.1313151000000005E-2</c:v>
                </c:pt>
                <c:pt idx="204">
                  <c:v>-7.5148122999999997E-2</c:v>
                </c:pt>
                <c:pt idx="205">
                  <c:v>-8.3113327000000001E-2</c:v>
                </c:pt>
                <c:pt idx="206">
                  <c:v>-9.5576182999999995E-2</c:v>
                </c:pt>
                <c:pt idx="207">
                  <c:v>-9.9158764999999996E-2</c:v>
                </c:pt>
                <c:pt idx="208">
                  <c:v>-9.2266569000000007E-2</c:v>
                </c:pt>
                <c:pt idx="209">
                  <c:v>-8.9975587999999995E-2</c:v>
                </c:pt>
                <c:pt idx="210">
                  <c:v>-9.8877023999999994E-2</c:v>
                </c:pt>
                <c:pt idx="211">
                  <c:v>-8.8821013000000004E-2</c:v>
                </c:pt>
                <c:pt idx="212">
                  <c:v>-9.1470090000000004E-2</c:v>
                </c:pt>
                <c:pt idx="213">
                  <c:v>-9.2987260000000002E-2</c:v>
                </c:pt>
                <c:pt idx="214">
                  <c:v>-9.3894273E-2</c:v>
                </c:pt>
                <c:pt idx="215">
                  <c:v>-9.3894273E-2</c:v>
                </c:pt>
                <c:pt idx="216">
                  <c:v>-9.3894273E-2</c:v>
                </c:pt>
                <c:pt idx="217">
                  <c:v>-7.7880583000000003E-2</c:v>
                </c:pt>
                <c:pt idx="218">
                  <c:v>-7.8802703000000002E-2</c:v>
                </c:pt>
                <c:pt idx="219">
                  <c:v>-7.8802703000000002E-2</c:v>
                </c:pt>
                <c:pt idx="220">
                  <c:v>-7.8802703000000002E-2</c:v>
                </c:pt>
                <c:pt idx="221">
                  <c:v>-7.8802703000000002E-2</c:v>
                </c:pt>
                <c:pt idx="222">
                  <c:v>-7.8802703000000002E-2</c:v>
                </c:pt>
                <c:pt idx="223">
                  <c:v>-7.8802703000000002E-2</c:v>
                </c:pt>
                <c:pt idx="224">
                  <c:v>-7.8802703000000002E-2</c:v>
                </c:pt>
                <c:pt idx="225">
                  <c:v>-7.8802703000000002E-2</c:v>
                </c:pt>
                <c:pt idx="226">
                  <c:v>-7.8802703000000002E-2</c:v>
                </c:pt>
                <c:pt idx="227">
                  <c:v>-7.8802703000000002E-2</c:v>
                </c:pt>
                <c:pt idx="228">
                  <c:v>-7.8802703000000002E-2</c:v>
                </c:pt>
                <c:pt idx="229">
                  <c:v>-7.8802703000000002E-2</c:v>
                </c:pt>
                <c:pt idx="230">
                  <c:v>-8.6552607000000004E-2</c:v>
                </c:pt>
                <c:pt idx="231">
                  <c:v>-7.9689032000000007E-2</c:v>
                </c:pt>
                <c:pt idx="232">
                  <c:v>-7.6490138999999999E-2</c:v>
                </c:pt>
                <c:pt idx="233">
                  <c:v>-6.5848950000000003E-2</c:v>
                </c:pt>
                <c:pt idx="234">
                  <c:v>-6.6783100999999997E-2</c:v>
                </c:pt>
                <c:pt idx="235">
                  <c:v>-6.6783100999999997E-2</c:v>
                </c:pt>
                <c:pt idx="236">
                  <c:v>-6.6783100999999997E-2</c:v>
                </c:pt>
                <c:pt idx="237">
                  <c:v>-6.6783100999999997E-2</c:v>
                </c:pt>
                <c:pt idx="238">
                  <c:v>-6.6783100999999997E-2</c:v>
                </c:pt>
                <c:pt idx="239">
                  <c:v>-6.6783100999999997E-2</c:v>
                </c:pt>
                <c:pt idx="240">
                  <c:v>-6.6783100999999997E-2</c:v>
                </c:pt>
                <c:pt idx="241">
                  <c:v>-6.6783100999999997E-2</c:v>
                </c:pt>
                <c:pt idx="242">
                  <c:v>-6.6783100999999997E-2</c:v>
                </c:pt>
                <c:pt idx="243">
                  <c:v>-6.6783100999999997E-2</c:v>
                </c:pt>
                <c:pt idx="244">
                  <c:v>-6.6783100999999997E-2</c:v>
                </c:pt>
                <c:pt idx="245">
                  <c:v>-6.6783100999999997E-2</c:v>
                </c:pt>
                <c:pt idx="246">
                  <c:v>-6.6783100999999997E-2</c:v>
                </c:pt>
                <c:pt idx="247">
                  <c:v>-6.6783100999999997E-2</c:v>
                </c:pt>
                <c:pt idx="248">
                  <c:v>-6.6783100999999997E-2</c:v>
                </c:pt>
                <c:pt idx="249">
                  <c:v>-6.6783100999999997E-2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85C-45C3-8C0D-93C7B73373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\-dd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Net Return</c:v>
          </c:tx>
          <c:invertIfNegative val="1"/>
          <c:cat>
            <c:strRef>
              <c:f>'Chart Data'!$F$2:$F$3</c:f>
              <c:strCache>
                <c:ptCount val="2"/>
                <c:pt idx="0">
                  <c:v>2024 Validation</c:v>
                </c:pt>
                <c:pt idx="1">
                  <c:v>2025 OOS</c:v>
                </c:pt>
              </c:strCache>
            </c:strRef>
          </c:cat>
          <c:val>
            <c:numRef>
              <c:f>'Chart Data'!$G$2:$G$3</c:f>
              <c:numCache>
                <c:formatCode>0.00%</c:formatCode>
                <c:ptCount val="2"/>
                <c:pt idx="0">
                  <c:v>6.4100000000000004E-2</c:v>
                </c:pt>
                <c:pt idx="1">
                  <c:v>-4.2189334976195203E-2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E8-459D-B5D7-8657C016B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Sharpe</c:v>
          </c:tx>
          <c:invertIfNegative val="1"/>
          <c:cat>
            <c:strRef>
              <c:f>'Chart Data'!$F$2:$F$3</c:f>
              <c:strCache>
                <c:ptCount val="2"/>
                <c:pt idx="0">
                  <c:v>2024 Validation</c:v>
                </c:pt>
                <c:pt idx="1">
                  <c:v>2025 OOS</c:v>
                </c:pt>
              </c:strCache>
            </c:strRef>
          </c:cat>
          <c:val>
            <c:numRef>
              <c:f>'Chart Data'!$H$2:$H$3</c:f>
              <c:numCache>
                <c:formatCode>0.000</c:formatCode>
                <c:ptCount val="2"/>
                <c:pt idx="0">
                  <c:v>0.81799999999999995</c:v>
                </c:pt>
                <c:pt idx="1">
                  <c:v>-0.316704980282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97-4F15-B2AF-95A2ADEE7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7</xdr:col>
      <xdr:colOff>0</xdr:colOff>
      <xdr:row>31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7</xdr:col>
      <xdr:colOff>0</xdr:colOff>
      <xdr:row>47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32</xdr:row>
      <xdr:rowOff>0</xdr:rowOff>
    </xdr:from>
    <xdr:to>
      <xdr:col>14</xdr:col>
      <xdr:colOff>0</xdr:colOff>
      <xdr:row>47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mmaryTable" displayName="SummaryTable" ref="A1:B27" totalsRowShown="0">
  <tableColumns count="2">
    <tableColumn id="1" xr3:uid="{00000000-0010-0000-0000-000001000000}" name="Metric"/>
    <tableColumn id="2" xr3:uid="{00000000-0010-0000-0000-000002000000}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ilyBacktestTable" displayName="DailyBacktestTable" ref="A1:P251" totalsRowShown="0">
  <tableColumns count="16">
    <tableColumn id="1" xr3:uid="{00000000-0010-0000-0100-000001000000}" name="Date"/>
    <tableColumn id="2" xr3:uid="{00000000-0010-0000-0100-000002000000}" name="TXN_Price"/>
    <tableColumn id="3" xr3:uid="{00000000-0010-0000-0100-000003000000}" name="GS_Price"/>
    <tableColumn id="4" xr3:uid="{00000000-0010-0000-0100-000004000000}" name="Spread"/>
    <tableColumn id="5" xr3:uid="{00000000-0010-0000-0100-000005000000}" name="Rolling_Mean"/>
    <tableColumn id="6" xr3:uid="{00000000-0010-0000-0100-000006000000}" name="Rolling_Std"/>
    <tableColumn id="7" xr3:uid="{00000000-0010-0000-0100-000007000000}" name="Z_Score"/>
    <tableColumn id="8" xr3:uid="{00000000-0010-0000-0100-000008000000}" name="Signal_Position"/>
    <tableColumn id="9" xr3:uid="{00000000-0010-0000-0100-000009000000}" name="Executed_Position"/>
    <tableColumn id="10" xr3:uid="{00000000-0010-0000-0100-00000A000000}" name="Gross_Return"/>
    <tableColumn id="11" xr3:uid="{00000000-0010-0000-0100-00000B000000}" name="Turnover"/>
    <tableColumn id="12" xr3:uid="{00000000-0010-0000-0100-00000C000000}" name="Transaction_Cost"/>
    <tableColumn id="13" xr3:uid="{00000000-0010-0000-0100-00000D000000}" name="Net_Return"/>
    <tableColumn id="14" xr3:uid="{00000000-0010-0000-0100-00000E000000}" name="Gross_Equity"/>
    <tableColumn id="15" xr3:uid="{00000000-0010-0000-0100-00000F000000}" name="Net_Equity"/>
    <tableColumn id="16" xr3:uid="{00000000-0010-0000-0100-000010000000}" name="Drawdow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"/>
  <sheetViews>
    <sheetView tabSelected="1" workbookViewId="0">
      <selection sqref="A1:N2"/>
    </sheetView>
  </sheetViews>
  <sheetFormatPr defaultRowHeight="13.8"/>
  <cols>
    <col min="1" max="1" width="15" customWidth="1"/>
    <col min="2" max="12" width="12" customWidth="1"/>
    <col min="13" max="14" width="13" customWidth="1"/>
  </cols>
  <sheetData>
    <row r="1" spans="1:14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spans="1:14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</row>
    <row r="3" spans="1:14" ht="14.4">
      <c r="A3" s="35" t="s">
        <v>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</row>
    <row r="4" spans="1:14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</row>
    <row r="5" spans="1:14">
      <c r="A5" s="36" t="s">
        <v>2</v>
      </c>
      <c r="B5" s="36"/>
      <c r="C5" s="36"/>
      <c r="D5" s="27"/>
      <c r="E5" s="36" t="s">
        <v>3</v>
      </c>
      <c r="F5" s="36"/>
      <c r="G5" s="36"/>
      <c r="H5" s="27"/>
      <c r="I5" s="36" t="s">
        <v>4</v>
      </c>
      <c r="J5" s="36"/>
      <c r="K5" s="36"/>
      <c r="L5" s="27"/>
      <c r="M5" s="36" t="s">
        <v>5</v>
      </c>
      <c r="N5" s="36"/>
    </row>
    <row r="6" spans="1:14">
      <c r="A6" s="37">
        <f>'Performance Summary'!B15</f>
        <v>6.4100000000000004E-2</v>
      </c>
      <c r="B6" s="37"/>
      <c r="C6" s="37"/>
      <c r="D6" s="27"/>
      <c r="E6" s="37">
        <f>'Performance Summary'!B20</f>
        <v>-4.2189334976195203E-2</v>
      </c>
      <c r="F6" s="37"/>
      <c r="G6" s="37"/>
      <c r="H6" s="27"/>
      <c r="I6" s="38">
        <f>'Performance Summary'!B22</f>
        <v>-0.316704980282</v>
      </c>
      <c r="J6" s="38"/>
      <c r="K6" s="38"/>
      <c r="L6" s="27"/>
      <c r="M6" s="37">
        <f>'Performance Summary'!B24</f>
        <v>-9.9158764558335694E-2</v>
      </c>
      <c r="N6" s="37"/>
    </row>
    <row r="7" spans="1:14">
      <c r="A7" s="37"/>
      <c r="B7" s="37"/>
      <c r="C7" s="37"/>
      <c r="D7" s="27"/>
      <c r="E7" s="37"/>
      <c r="F7" s="37"/>
      <c r="G7" s="37"/>
      <c r="H7" s="27"/>
      <c r="I7" s="38"/>
      <c r="J7" s="38"/>
      <c r="K7" s="38"/>
      <c r="L7" s="27"/>
      <c r="M7" s="37"/>
      <c r="N7" s="37"/>
    </row>
    <row r="8" spans="1:14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</row>
    <row r="9" spans="1:14" ht="27.6">
      <c r="A9" s="28" t="s">
        <v>6</v>
      </c>
      <c r="B9" s="28" t="s">
        <v>7</v>
      </c>
      <c r="C9" s="28" t="s">
        <v>8</v>
      </c>
      <c r="D9" s="28" t="s">
        <v>9</v>
      </c>
      <c r="E9" s="28" t="s">
        <v>10</v>
      </c>
      <c r="F9" s="28" t="s">
        <v>11</v>
      </c>
      <c r="G9" s="28" t="s">
        <v>12</v>
      </c>
      <c r="H9" s="28" t="s">
        <v>13</v>
      </c>
      <c r="I9" s="28" t="s">
        <v>14</v>
      </c>
      <c r="J9" s="28" t="s">
        <v>15</v>
      </c>
      <c r="K9" s="28" t="s">
        <v>16</v>
      </c>
      <c r="L9" s="28"/>
      <c r="M9" s="28"/>
      <c r="N9" s="28"/>
    </row>
    <row r="10" spans="1:14">
      <c r="A10" s="29" t="s">
        <v>17</v>
      </c>
      <c r="B10" s="30">
        <v>9.9299999999999996E-4</v>
      </c>
      <c r="C10" s="30">
        <v>1.6000000000000001E-4</v>
      </c>
      <c r="D10" s="31">
        <v>0.219970683092472</v>
      </c>
      <c r="E10" s="32">
        <v>12.3</v>
      </c>
      <c r="F10" s="32">
        <v>12</v>
      </c>
      <c r="G10" s="32">
        <v>2</v>
      </c>
      <c r="H10" s="32">
        <v>0.5</v>
      </c>
      <c r="I10" s="29">
        <v>15</v>
      </c>
      <c r="J10" s="29">
        <v>15</v>
      </c>
      <c r="K10" s="33">
        <v>1E-3</v>
      </c>
      <c r="L10" s="27"/>
      <c r="M10" s="27"/>
      <c r="N10" s="27"/>
    </row>
    <row r="11" spans="1:14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</row>
    <row r="12" spans="1:14">
      <c r="A12" s="39" t="s">
        <v>18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</row>
    <row r="13" spans="1:14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</row>
    <row r="14" spans="1:14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</row>
    <row r="15" spans="1:14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</row>
    <row r="16" spans="1:14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</row>
    <row r="17" spans="1:14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</row>
    <row r="18" spans="1:14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</row>
    <row r="19" spans="1:14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</row>
    <row r="20" spans="1:14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</row>
    <row r="21" spans="1:14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</row>
    <row r="22" spans="1:14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</row>
    <row r="23" spans="1:14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</row>
    <row r="24" spans="1:14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</row>
    <row r="25" spans="1:14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</row>
    <row r="26" spans="1:14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</row>
    <row r="27" spans="1:14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</row>
    <row r="28" spans="1:14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</row>
    <row r="29" spans="1:14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</row>
    <row r="30" spans="1:14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</row>
    <row r="31" spans="1:14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</row>
    <row r="32" spans="1:14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</row>
    <row r="33" spans="1:14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</row>
    <row r="34" spans="1:1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</row>
    <row r="35" spans="1:14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</row>
    <row r="36" spans="1:14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</row>
    <row r="37" spans="1:14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</row>
    <row r="38" spans="1:14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</row>
    <row r="39" spans="1:14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</row>
    <row r="40" spans="1:14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</row>
    <row r="41" spans="1:14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</row>
    <row r="42" spans="1:14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</row>
    <row r="43" spans="1:14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</row>
    <row r="44" spans="1:1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</row>
    <row r="45" spans="1:14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</row>
    <row r="46" spans="1:14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</row>
    <row r="47" spans="1:14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</row>
  </sheetData>
  <mergeCells count="11">
    <mergeCell ref="A12:N14"/>
    <mergeCell ref="A1:N2"/>
    <mergeCell ref="A3:N3"/>
    <mergeCell ref="A5:C5"/>
    <mergeCell ref="A6:C7"/>
    <mergeCell ref="E5:G5"/>
    <mergeCell ref="E6:G7"/>
    <mergeCell ref="I5:K5"/>
    <mergeCell ref="I6:K7"/>
    <mergeCell ref="M5:N5"/>
    <mergeCell ref="M6:N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workbookViewId="0"/>
  </sheetViews>
  <sheetFormatPr defaultRowHeight="13.8"/>
  <cols>
    <col min="1" max="1" width="34" customWidth="1"/>
    <col min="2" max="2" width="22" customWidth="1"/>
  </cols>
  <sheetData>
    <row r="1" spans="1:2">
      <c r="A1" s="2" t="s">
        <v>19</v>
      </c>
      <c r="B1" s="3" t="s">
        <v>20</v>
      </c>
    </row>
    <row r="2" spans="1:2">
      <c r="A2" s="4" t="s">
        <v>21</v>
      </c>
      <c r="B2" s="5" t="s">
        <v>22</v>
      </c>
    </row>
    <row r="3" spans="1:2">
      <c r="A3" s="4" t="s">
        <v>23</v>
      </c>
      <c r="B3" s="5">
        <v>2024</v>
      </c>
    </row>
    <row r="4" spans="1:2">
      <c r="A4" s="4" t="s">
        <v>24</v>
      </c>
      <c r="B4" s="5">
        <v>2025</v>
      </c>
    </row>
    <row r="5" spans="1:2">
      <c r="A5" s="4" t="s">
        <v>6</v>
      </c>
      <c r="B5" s="5" t="s">
        <v>17</v>
      </c>
    </row>
    <row r="6" spans="1:2">
      <c r="A6" s="4" t="s">
        <v>25</v>
      </c>
      <c r="B6" s="7">
        <v>9.9299999999999996E-4</v>
      </c>
    </row>
    <row r="7" spans="1:2">
      <c r="A7" s="4" t="s">
        <v>26</v>
      </c>
      <c r="B7" s="7">
        <v>1.6000000000000001E-4</v>
      </c>
    </row>
    <row r="8" spans="1:2">
      <c r="A8" s="4" t="s">
        <v>27</v>
      </c>
      <c r="B8" s="8">
        <v>86.451400214109199</v>
      </c>
    </row>
    <row r="9" spans="1:2">
      <c r="A9" s="4" t="s">
        <v>28</v>
      </c>
      <c r="B9" s="8">
        <v>0.219970683092472</v>
      </c>
    </row>
    <row r="10" spans="1:2">
      <c r="A10" s="4" t="s">
        <v>29</v>
      </c>
      <c r="B10" s="9">
        <v>12.3</v>
      </c>
    </row>
    <row r="11" spans="1:2">
      <c r="A11" s="4" t="s">
        <v>30</v>
      </c>
      <c r="B11" s="9">
        <v>12</v>
      </c>
    </row>
    <row r="12" spans="1:2">
      <c r="A12" s="4" t="s">
        <v>31</v>
      </c>
      <c r="B12" s="9">
        <v>2</v>
      </c>
    </row>
    <row r="13" spans="1:2">
      <c r="A13" s="4" t="s">
        <v>32</v>
      </c>
      <c r="B13" s="9">
        <v>0.5</v>
      </c>
    </row>
    <row r="14" spans="1:2">
      <c r="A14" s="4" t="s">
        <v>33</v>
      </c>
      <c r="B14" s="10">
        <v>1E-3</v>
      </c>
    </row>
    <row r="15" spans="1:2">
      <c r="A15" s="4" t="s">
        <v>2</v>
      </c>
      <c r="B15" s="10">
        <v>6.4100000000000004E-2</v>
      </c>
    </row>
    <row r="16" spans="1:2">
      <c r="A16" s="4" t="s">
        <v>34</v>
      </c>
      <c r="B16" s="11">
        <v>0.81799999999999995</v>
      </c>
    </row>
    <row r="17" spans="1:2">
      <c r="A17" s="4" t="s">
        <v>35</v>
      </c>
      <c r="B17" s="10">
        <v>-3.6999999999999998E-2</v>
      </c>
    </row>
    <row r="18" spans="1:2">
      <c r="A18" s="4" t="s">
        <v>36</v>
      </c>
      <c r="B18" s="5">
        <v>8</v>
      </c>
    </row>
    <row r="19" spans="1:2">
      <c r="A19" s="4" t="s">
        <v>37</v>
      </c>
      <c r="B19" s="10">
        <v>-1.2950711369235699E-2</v>
      </c>
    </row>
    <row r="20" spans="1:2">
      <c r="A20" s="4" t="s">
        <v>38</v>
      </c>
      <c r="B20" s="10">
        <v>-4.2189334976195203E-2</v>
      </c>
    </row>
    <row r="21" spans="1:2">
      <c r="A21" s="4" t="s">
        <v>39</v>
      </c>
      <c r="B21" s="10">
        <v>0.116001581455543</v>
      </c>
    </row>
    <row r="22" spans="1:2">
      <c r="A22" s="4" t="s">
        <v>40</v>
      </c>
      <c r="B22" s="12">
        <v>-0.316704980282</v>
      </c>
    </row>
    <row r="23" spans="1:2">
      <c r="A23" s="4" t="s">
        <v>41</v>
      </c>
      <c r="B23" s="12">
        <v>-0.30413512262490799</v>
      </c>
    </row>
    <row r="24" spans="1:2">
      <c r="A24" s="4" t="s">
        <v>42</v>
      </c>
      <c r="B24" s="10">
        <v>-9.9158764558335694E-2</v>
      </c>
    </row>
    <row r="25" spans="1:2">
      <c r="A25" s="4" t="s">
        <v>43</v>
      </c>
      <c r="B25" s="5">
        <v>15</v>
      </c>
    </row>
    <row r="26" spans="1:2">
      <c r="A26" s="4" t="s">
        <v>44</v>
      </c>
      <c r="B26" s="5">
        <v>15</v>
      </c>
    </row>
    <row r="27" spans="1:2">
      <c r="A27" s="6" t="s">
        <v>45</v>
      </c>
      <c r="B27" s="13">
        <v>0.03</v>
      </c>
    </row>
  </sheetData>
  <conditionalFormatting sqref="B15">
    <cfRule type="expression" dxfId="4" priority="1">
      <formula>B15&lt;0</formula>
    </cfRule>
  </conditionalFormatting>
  <conditionalFormatting sqref="B17">
    <cfRule type="expression" dxfId="3" priority="2">
      <formula>B17&lt;0</formula>
    </cfRule>
  </conditionalFormatting>
  <conditionalFormatting sqref="B19:B24">
    <cfRule type="expression" dxfId="2" priority="3">
      <formula>B19&lt;0</formula>
    </cfRule>
  </conditionalFormatting>
  <conditionalFormatting sqref="B27">
    <cfRule type="expression" dxfId="1" priority="4">
      <formula>B27&lt;0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51"/>
  <sheetViews>
    <sheetView workbookViewId="0"/>
  </sheetViews>
  <sheetFormatPr defaultRowHeight="13.8"/>
  <cols>
    <col min="1" max="1" width="13" customWidth="1"/>
    <col min="2" max="16" width="14" customWidth="1"/>
  </cols>
  <sheetData>
    <row r="1" spans="1:16" ht="27.6">
      <c r="A1" s="14" t="s">
        <v>46</v>
      </c>
      <c r="B1" s="14" t="s">
        <v>47</v>
      </c>
      <c r="C1" s="14" t="s">
        <v>48</v>
      </c>
      <c r="D1" s="14" t="s">
        <v>49</v>
      </c>
      <c r="E1" s="14" t="s">
        <v>50</v>
      </c>
      <c r="F1" s="14" t="s">
        <v>51</v>
      </c>
      <c r="G1" s="14" t="s">
        <v>52</v>
      </c>
      <c r="H1" s="14" t="s">
        <v>53</v>
      </c>
      <c r="I1" s="14" t="s">
        <v>54</v>
      </c>
      <c r="J1" s="14" t="s">
        <v>55</v>
      </c>
      <c r="K1" s="14" t="s">
        <v>56</v>
      </c>
      <c r="L1" s="14" t="s">
        <v>57</v>
      </c>
      <c r="M1" s="14" t="s">
        <v>58</v>
      </c>
      <c r="N1" s="14" t="s">
        <v>59</v>
      </c>
      <c r="O1" s="14" t="s">
        <v>60</v>
      </c>
      <c r="P1" s="14" t="s">
        <v>61</v>
      </c>
    </row>
    <row r="2" spans="1:16">
      <c r="A2" s="15">
        <v>45659</v>
      </c>
      <c r="B2" s="16">
        <v>178.0757141</v>
      </c>
      <c r="C2" s="16">
        <v>555.34136960000001</v>
      </c>
      <c r="D2" s="16">
        <v>-30.534506530000002</v>
      </c>
      <c r="E2" s="16">
        <v>-28.431166180000002</v>
      </c>
      <c r="F2" s="16">
        <v>1.4436533460000001</v>
      </c>
      <c r="G2" s="17">
        <v>-1.4569566549999999</v>
      </c>
      <c r="H2" s="18">
        <v>0</v>
      </c>
      <c r="I2" s="18">
        <v>0</v>
      </c>
      <c r="J2" s="19">
        <v>0</v>
      </c>
      <c r="K2" s="20">
        <v>0</v>
      </c>
      <c r="L2" s="19">
        <v>0</v>
      </c>
      <c r="M2" s="19">
        <v>0</v>
      </c>
      <c r="N2" s="21">
        <v>1</v>
      </c>
      <c r="O2" s="21">
        <v>1</v>
      </c>
      <c r="P2" s="22">
        <v>0</v>
      </c>
    </row>
    <row r="3" spans="1:16">
      <c r="A3" s="15">
        <v>45660</v>
      </c>
      <c r="B3" s="16">
        <v>181.46675110000001</v>
      </c>
      <c r="C3" s="16">
        <v>560.32519530000002</v>
      </c>
      <c r="D3" s="16">
        <v>-28.239765080000002</v>
      </c>
      <c r="E3" s="16">
        <v>-28.238048490000001</v>
      </c>
      <c r="F3" s="16">
        <v>1.2790146099999999</v>
      </c>
      <c r="G3" s="17">
        <v>-1.342125E-3</v>
      </c>
      <c r="H3" s="18">
        <v>0</v>
      </c>
      <c r="I3" s="18">
        <v>0</v>
      </c>
      <c r="J3" s="19">
        <v>0</v>
      </c>
      <c r="K3" s="20">
        <v>0</v>
      </c>
      <c r="L3" s="19">
        <v>0</v>
      </c>
      <c r="M3" s="19">
        <v>0</v>
      </c>
      <c r="N3" s="21">
        <v>1</v>
      </c>
      <c r="O3" s="21">
        <v>1</v>
      </c>
      <c r="P3" s="22">
        <v>0</v>
      </c>
    </row>
    <row r="4" spans="1:16">
      <c r="A4" s="15">
        <v>45663</v>
      </c>
      <c r="B4" s="16">
        <v>183.0574646</v>
      </c>
      <c r="C4" s="16">
        <v>563.47393799999998</v>
      </c>
      <c r="D4" s="16">
        <v>-27.34168266</v>
      </c>
      <c r="E4" s="16">
        <v>-28.069988030000001</v>
      </c>
      <c r="F4" s="16">
        <v>1.250599716</v>
      </c>
      <c r="G4" s="17">
        <v>0.582364891</v>
      </c>
      <c r="H4" s="18">
        <v>0</v>
      </c>
      <c r="I4" s="18">
        <v>0</v>
      </c>
      <c r="J4" s="19">
        <v>0</v>
      </c>
      <c r="K4" s="20">
        <v>0</v>
      </c>
      <c r="L4" s="19">
        <v>0</v>
      </c>
      <c r="M4" s="19">
        <v>0</v>
      </c>
      <c r="N4" s="21">
        <v>1</v>
      </c>
      <c r="O4" s="21">
        <v>1</v>
      </c>
      <c r="P4" s="22">
        <v>0</v>
      </c>
    </row>
    <row r="5" spans="1:16">
      <c r="A5" s="15">
        <v>45664</v>
      </c>
      <c r="B5" s="16">
        <v>183.0860596</v>
      </c>
      <c r="C5" s="16">
        <v>560.31555179999998</v>
      </c>
      <c r="D5" s="16">
        <v>-26.618335309999999</v>
      </c>
      <c r="E5" s="16">
        <v>-28.026526530000002</v>
      </c>
      <c r="F5" s="16">
        <v>1.2941656290000001</v>
      </c>
      <c r="G5" s="17">
        <v>1.0881074159999999</v>
      </c>
      <c r="H5" s="18">
        <v>0</v>
      </c>
      <c r="I5" s="18">
        <v>0</v>
      </c>
      <c r="J5" s="19">
        <v>0</v>
      </c>
      <c r="K5" s="20">
        <v>0</v>
      </c>
      <c r="L5" s="19">
        <v>0</v>
      </c>
      <c r="M5" s="19">
        <v>0</v>
      </c>
      <c r="N5" s="21">
        <v>1</v>
      </c>
      <c r="O5" s="21">
        <v>1</v>
      </c>
      <c r="P5" s="22">
        <v>0</v>
      </c>
    </row>
    <row r="6" spans="1:16">
      <c r="A6" s="15">
        <v>45665</v>
      </c>
      <c r="B6" s="16">
        <v>182.56214900000001</v>
      </c>
      <c r="C6" s="16">
        <v>560.21905519999996</v>
      </c>
      <c r="D6" s="16">
        <v>-27.121019409999999</v>
      </c>
      <c r="E6" s="16">
        <v>-27.916667740000001</v>
      </c>
      <c r="F6" s="16">
        <v>1.3117727320000001</v>
      </c>
      <c r="G6" s="17">
        <v>0.60654434300000004</v>
      </c>
      <c r="H6" s="18">
        <v>0</v>
      </c>
      <c r="I6" s="18">
        <v>0</v>
      </c>
      <c r="J6" s="19">
        <v>0</v>
      </c>
      <c r="K6" s="20">
        <v>0</v>
      </c>
      <c r="L6" s="19">
        <v>0</v>
      </c>
      <c r="M6" s="19">
        <v>0</v>
      </c>
      <c r="N6" s="21">
        <v>1</v>
      </c>
      <c r="O6" s="21">
        <v>1</v>
      </c>
      <c r="P6" s="22">
        <v>0</v>
      </c>
    </row>
    <row r="7" spans="1:16">
      <c r="A7" s="15">
        <v>45667</v>
      </c>
      <c r="B7" s="16">
        <v>181.1238251</v>
      </c>
      <c r="C7" s="16">
        <v>540.88244629999997</v>
      </c>
      <c r="D7" s="16">
        <v>-24.30585632</v>
      </c>
      <c r="E7" s="16">
        <v>-27.548310149999999</v>
      </c>
      <c r="F7" s="16">
        <v>1.642688444</v>
      </c>
      <c r="G7" s="17">
        <v>1.9738702349999999</v>
      </c>
      <c r="H7" s="18">
        <v>0</v>
      </c>
      <c r="I7" s="18">
        <v>0</v>
      </c>
      <c r="J7" s="19">
        <v>0</v>
      </c>
      <c r="K7" s="20">
        <v>0</v>
      </c>
      <c r="L7" s="19">
        <v>0</v>
      </c>
      <c r="M7" s="19">
        <v>0</v>
      </c>
      <c r="N7" s="21">
        <v>1</v>
      </c>
      <c r="O7" s="21">
        <v>1</v>
      </c>
      <c r="P7" s="22">
        <v>0</v>
      </c>
    </row>
    <row r="8" spans="1:16">
      <c r="A8" s="15">
        <v>45670</v>
      </c>
      <c r="B8" s="16">
        <v>182.0192261</v>
      </c>
      <c r="C8" s="16">
        <v>543.73175049999998</v>
      </c>
      <c r="D8" s="16">
        <v>-24.037218710000001</v>
      </c>
      <c r="E8" s="16">
        <v>-27.334269079999999</v>
      </c>
      <c r="F8" s="16">
        <v>1.9205157129999999</v>
      </c>
      <c r="G8" s="17">
        <v>1.716752609</v>
      </c>
      <c r="H8" s="18">
        <v>0</v>
      </c>
      <c r="I8" s="18">
        <v>0</v>
      </c>
      <c r="J8" s="19">
        <v>0</v>
      </c>
      <c r="K8" s="20">
        <v>0</v>
      </c>
      <c r="L8" s="19">
        <v>0</v>
      </c>
      <c r="M8" s="19">
        <v>0</v>
      </c>
      <c r="N8" s="21">
        <v>1</v>
      </c>
      <c r="O8" s="21">
        <v>1</v>
      </c>
      <c r="P8" s="22">
        <v>0</v>
      </c>
    </row>
    <row r="9" spans="1:16">
      <c r="A9" s="15">
        <v>45671</v>
      </c>
      <c r="B9" s="16">
        <v>184.3148041</v>
      </c>
      <c r="C9" s="16">
        <v>552.01885990000005</v>
      </c>
      <c r="D9" s="16">
        <v>-23.564561820000002</v>
      </c>
      <c r="E9" s="16">
        <v>-27.05077107</v>
      </c>
      <c r="F9" s="16">
        <v>2.2091380420000002</v>
      </c>
      <c r="G9" s="17">
        <v>1.5780857429999999</v>
      </c>
      <c r="H9" s="18">
        <v>0</v>
      </c>
      <c r="I9" s="18">
        <v>0</v>
      </c>
      <c r="J9" s="19">
        <v>0</v>
      </c>
      <c r="K9" s="20">
        <v>0</v>
      </c>
      <c r="L9" s="19">
        <v>0</v>
      </c>
      <c r="M9" s="19">
        <v>0</v>
      </c>
      <c r="N9" s="21">
        <v>1</v>
      </c>
      <c r="O9" s="21">
        <v>1</v>
      </c>
      <c r="P9" s="22">
        <v>0</v>
      </c>
    </row>
    <row r="10" spans="1:16">
      <c r="A10" s="15">
        <v>45672</v>
      </c>
      <c r="B10" s="16">
        <v>188.13446039999999</v>
      </c>
      <c r="C10" s="16">
        <v>585.23480219999999</v>
      </c>
      <c r="D10" s="16">
        <v>-27.05143898</v>
      </c>
      <c r="E10" s="16">
        <v>-27.029107069999998</v>
      </c>
      <c r="F10" s="16">
        <v>2.2076239229999999</v>
      </c>
      <c r="G10" s="17">
        <v>-1.0115812E-2</v>
      </c>
      <c r="H10" s="18">
        <v>0</v>
      </c>
      <c r="I10" s="18">
        <v>0</v>
      </c>
      <c r="J10" s="19">
        <v>0</v>
      </c>
      <c r="K10" s="20">
        <v>0</v>
      </c>
      <c r="L10" s="19">
        <v>0</v>
      </c>
      <c r="M10" s="19">
        <v>0</v>
      </c>
      <c r="N10" s="21">
        <v>1</v>
      </c>
      <c r="O10" s="21">
        <v>1</v>
      </c>
      <c r="P10" s="22">
        <v>0</v>
      </c>
    </row>
    <row r="11" spans="1:16">
      <c r="A11" s="15">
        <v>45673</v>
      </c>
      <c r="B11" s="16">
        <v>178.47581479999999</v>
      </c>
      <c r="C11" s="16">
        <v>592.06335449999995</v>
      </c>
      <c r="D11" s="16">
        <v>-38.212165919999997</v>
      </c>
      <c r="E11" s="16">
        <v>-27.983255799999998</v>
      </c>
      <c r="F11" s="16">
        <v>3.9042459649999999</v>
      </c>
      <c r="G11" s="17">
        <v>-2.619945108</v>
      </c>
      <c r="H11" s="18">
        <v>1</v>
      </c>
      <c r="I11" s="18">
        <v>0</v>
      </c>
      <c r="J11" s="19">
        <v>0</v>
      </c>
      <c r="K11" s="20">
        <v>0</v>
      </c>
      <c r="L11" s="19">
        <v>0</v>
      </c>
      <c r="M11" s="19">
        <v>0</v>
      </c>
      <c r="N11" s="21">
        <v>1</v>
      </c>
      <c r="O11" s="21">
        <v>1</v>
      </c>
      <c r="P11" s="22">
        <v>0</v>
      </c>
    </row>
    <row r="12" spans="1:16">
      <c r="A12" s="15">
        <v>45674</v>
      </c>
      <c r="B12" s="16">
        <v>183.28608700000001</v>
      </c>
      <c r="C12" s="16">
        <v>604.57147220000002</v>
      </c>
      <c r="D12" s="16">
        <v>-36.153312890000002</v>
      </c>
      <c r="E12" s="16">
        <v>-28.556804360000001</v>
      </c>
      <c r="F12" s="16">
        <v>4.5608935449999999</v>
      </c>
      <c r="G12" s="17">
        <v>-1.6655746199999999</v>
      </c>
      <c r="H12" s="18">
        <v>1</v>
      </c>
      <c r="I12" s="18">
        <v>1</v>
      </c>
      <c r="J12" s="19">
        <v>6.6691620000000002E-3</v>
      </c>
      <c r="K12" s="20">
        <v>1</v>
      </c>
      <c r="L12" s="19">
        <v>1E-3</v>
      </c>
      <c r="M12" s="19">
        <v>5.6691620000000002E-3</v>
      </c>
      <c r="N12" s="21">
        <v>1.0066691619999999</v>
      </c>
      <c r="O12" s="21">
        <v>1.005669162</v>
      </c>
      <c r="P12" s="22">
        <v>0</v>
      </c>
    </row>
    <row r="13" spans="1:16">
      <c r="A13" s="15">
        <v>45678</v>
      </c>
      <c r="B13" s="16">
        <v>185.96266170000001</v>
      </c>
      <c r="C13" s="16">
        <v>613.07092290000003</v>
      </c>
      <c r="D13" s="16">
        <v>-35.346368150000004</v>
      </c>
      <c r="E13" s="16">
        <v>-29.043852650000002</v>
      </c>
      <c r="F13" s="16">
        <v>4.9651314910000002</v>
      </c>
      <c r="G13" s="17">
        <v>-1.269355206</v>
      </c>
      <c r="H13" s="18">
        <v>1</v>
      </c>
      <c r="I13" s="18">
        <v>1</v>
      </c>
      <c r="J13" s="19">
        <v>2.55141E-3</v>
      </c>
      <c r="K13" s="20">
        <v>0</v>
      </c>
      <c r="L13" s="19">
        <v>0</v>
      </c>
      <c r="M13" s="19">
        <v>2.55141E-3</v>
      </c>
      <c r="N13" s="21">
        <v>1.009237588</v>
      </c>
      <c r="O13" s="21">
        <v>1.0082350360000001</v>
      </c>
      <c r="P13" s="22">
        <v>0</v>
      </c>
    </row>
    <row r="14" spans="1:16">
      <c r="A14" s="15">
        <v>45679</v>
      </c>
      <c r="B14" s="16">
        <v>187.69630430000001</v>
      </c>
      <c r="C14" s="16">
        <v>611.12945560000003</v>
      </c>
      <c r="D14" s="16">
        <v>-33.185659690000001</v>
      </c>
      <c r="E14" s="16">
        <v>-29.26478208</v>
      </c>
      <c r="F14" s="16">
        <v>5.0947801879999997</v>
      </c>
      <c r="G14" s="17">
        <v>-0.76958719799999997</v>
      </c>
      <c r="H14" s="18">
        <v>1</v>
      </c>
      <c r="I14" s="18">
        <v>1</v>
      </c>
      <c r="J14" s="19">
        <v>6.73495E-3</v>
      </c>
      <c r="K14" s="20">
        <v>0</v>
      </c>
      <c r="L14" s="19">
        <v>0</v>
      </c>
      <c r="M14" s="19">
        <v>6.73495E-3</v>
      </c>
      <c r="N14" s="21">
        <v>1.0160347519999999</v>
      </c>
      <c r="O14" s="21">
        <v>1.0150254480000001</v>
      </c>
      <c r="P14" s="22">
        <v>0</v>
      </c>
    </row>
    <row r="15" spans="1:16">
      <c r="A15" s="15">
        <v>45680</v>
      </c>
      <c r="B15" s="16">
        <v>191.08729550000001</v>
      </c>
      <c r="C15" s="16">
        <v>617.66845699999999</v>
      </c>
      <c r="D15" s="16">
        <v>-31.2330571</v>
      </c>
      <c r="E15" s="16">
        <v>-29.514223080000001</v>
      </c>
      <c r="F15" s="16">
        <v>5.1132753580000001</v>
      </c>
      <c r="G15" s="17">
        <v>-0.336151272</v>
      </c>
      <c r="H15" s="18">
        <v>0</v>
      </c>
      <c r="I15" s="18">
        <v>1</v>
      </c>
      <c r="J15" s="19">
        <v>6.0615950000000004E-3</v>
      </c>
      <c r="K15" s="20">
        <v>0</v>
      </c>
      <c r="L15" s="19">
        <v>0</v>
      </c>
      <c r="M15" s="19">
        <v>6.0615950000000004E-3</v>
      </c>
      <c r="N15" s="21">
        <v>1.022193543</v>
      </c>
      <c r="O15" s="21">
        <v>1.0211781209999999</v>
      </c>
      <c r="P15" s="22">
        <v>0</v>
      </c>
    </row>
    <row r="16" spans="1:16">
      <c r="A16" s="15">
        <v>45681</v>
      </c>
      <c r="B16" s="16">
        <v>176.71360780000001</v>
      </c>
      <c r="C16" s="16">
        <v>615.15716550000002</v>
      </c>
      <c r="D16" s="16">
        <v>-45.054334339999997</v>
      </c>
      <c r="E16" s="16">
        <v>-30.990277389999999</v>
      </c>
      <c r="F16" s="16">
        <v>6.7300663500000004</v>
      </c>
      <c r="G16" s="17">
        <v>-2.0897352589999998</v>
      </c>
      <c r="H16" s="18">
        <v>1</v>
      </c>
      <c r="I16" s="18">
        <v>0</v>
      </c>
      <c r="J16" s="19">
        <v>0</v>
      </c>
      <c r="K16" s="20">
        <v>1</v>
      </c>
      <c r="L16" s="19">
        <v>1E-3</v>
      </c>
      <c r="M16" s="19">
        <v>-1E-3</v>
      </c>
      <c r="N16" s="21">
        <v>1.022193543</v>
      </c>
      <c r="O16" s="21">
        <v>1.0201569429999999</v>
      </c>
      <c r="P16" s="22">
        <v>-1E-3</v>
      </c>
    </row>
    <row r="17" spans="1:16">
      <c r="A17" s="15">
        <v>45684</v>
      </c>
      <c r="B17" s="16">
        <v>178.1519318</v>
      </c>
      <c r="C17" s="16">
        <v>611.66082759999995</v>
      </c>
      <c r="D17" s="16">
        <v>-42.846918530000003</v>
      </c>
      <c r="E17" s="16">
        <v>-32.342659320000003</v>
      </c>
      <c r="F17" s="16">
        <v>7.3716320059999996</v>
      </c>
      <c r="G17" s="17">
        <v>-1.424957078</v>
      </c>
      <c r="H17" s="18">
        <v>1</v>
      </c>
      <c r="I17" s="18">
        <v>1</v>
      </c>
      <c r="J17" s="19">
        <v>7.0743669999999998E-3</v>
      </c>
      <c r="K17" s="20">
        <v>1</v>
      </c>
      <c r="L17" s="19">
        <v>1E-3</v>
      </c>
      <c r="M17" s="19">
        <v>6.0743669999999998E-3</v>
      </c>
      <c r="N17" s="21">
        <v>1.0294249150000001</v>
      </c>
      <c r="O17" s="21">
        <v>1.026353751</v>
      </c>
      <c r="P17" s="22">
        <v>0</v>
      </c>
    </row>
    <row r="18" spans="1:16">
      <c r="A18" s="15">
        <v>45685</v>
      </c>
      <c r="B18" s="16">
        <v>171.99858090000001</v>
      </c>
      <c r="C18" s="16">
        <v>616.02636719999998</v>
      </c>
      <c r="D18" s="16">
        <v>-49.96056007</v>
      </c>
      <c r="E18" s="16">
        <v>-34.245954380000001</v>
      </c>
      <c r="F18" s="16">
        <v>8.7251207940000004</v>
      </c>
      <c r="G18" s="17">
        <v>-1.801076004</v>
      </c>
      <c r="H18" s="18">
        <v>1</v>
      </c>
      <c r="I18" s="18">
        <v>1</v>
      </c>
      <c r="J18" s="19">
        <v>-2.2749139000000002E-2</v>
      </c>
      <c r="K18" s="20">
        <v>0</v>
      </c>
      <c r="L18" s="19">
        <v>0</v>
      </c>
      <c r="M18" s="19">
        <v>-2.2749139000000002E-2</v>
      </c>
      <c r="N18" s="21">
        <v>1.0060063850000001</v>
      </c>
      <c r="O18" s="21">
        <v>1.003005087</v>
      </c>
      <c r="P18" s="22">
        <v>-2.2749139000000002E-2</v>
      </c>
    </row>
    <row r="19" spans="1:16">
      <c r="A19" s="15">
        <v>45686</v>
      </c>
      <c r="B19" s="16">
        <v>171.71282959999999</v>
      </c>
      <c r="C19" s="16">
        <v>615.62078859999997</v>
      </c>
      <c r="D19" s="16">
        <v>-50.157096009999997</v>
      </c>
      <c r="E19" s="16">
        <v>-36.400224350000002</v>
      </c>
      <c r="F19" s="16">
        <v>9.2248350109999997</v>
      </c>
      <c r="G19" s="17">
        <v>-1.4912864720000001</v>
      </c>
      <c r="H19" s="18">
        <v>1</v>
      </c>
      <c r="I19" s="18">
        <v>1</v>
      </c>
      <c r="J19" s="19">
        <v>-6.3912799999999998E-4</v>
      </c>
      <c r="K19" s="20">
        <v>0</v>
      </c>
      <c r="L19" s="19">
        <v>0</v>
      </c>
      <c r="M19" s="19">
        <v>-6.3912799999999998E-4</v>
      </c>
      <c r="N19" s="21">
        <v>1.005363418</v>
      </c>
      <c r="O19" s="21">
        <v>1.0023640380000001</v>
      </c>
      <c r="P19" s="22">
        <v>-2.3373727E-2</v>
      </c>
    </row>
    <row r="20" spans="1:16">
      <c r="A20" s="15">
        <v>45687</v>
      </c>
      <c r="B20" s="16">
        <v>176.4754791</v>
      </c>
      <c r="C20" s="16">
        <v>623.65679929999999</v>
      </c>
      <c r="D20" s="16">
        <v>-47.162133249999997</v>
      </c>
      <c r="E20" s="16">
        <v>-38.327300559999998</v>
      </c>
      <c r="F20" s="16">
        <v>8.8136500170000005</v>
      </c>
      <c r="G20" s="17">
        <v>-1.002403393</v>
      </c>
      <c r="H20" s="18">
        <v>1</v>
      </c>
      <c r="I20" s="18">
        <v>1</v>
      </c>
      <c r="J20" s="19">
        <v>9.7514070000000001E-3</v>
      </c>
      <c r="K20" s="20">
        <v>0</v>
      </c>
      <c r="L20" s="19">
        <v>0</v>
      </c>
      <c r="M20" s="19">
        <v>9.7514070000000001E-3</v>
      </c>
      <c r="N20" s="21">
        <v>1.0151671259999999</v>
      </c>
      <c r="O20" s="21">
        <v>1.0121384980000001</v>
      </c>
      <c r="P20" s="22">
        <v>-1.3850247E-2</v>
      </c>
    </row>
    <row r="21" spans="1:16">
      <c r="A21" s="15">
        <v>45688</v>
      </c>
      <c r="B21" s="16">
        <v>177.14717099999999</v>
      </c>
      <c r="C21" s="16">
        <v>618.53771970000003</v>
      </c>
      <c r="D21" s="16">
        <v>-45.364393919999998</v>
      </c>
      <c r="E21" s="16">
        <v>-40.143953240000002</v>
      </c>
      <c r="F21" s="16">
        <v>7.6661249979999999</v>
      </c>
      <c r="G21" s="17">
        <v>-0.68097515799999997</v>
      </c>
      <c r="H21" s="18">
        <v>1</v>
      </c>
      <c r="I21" s="18">
        <v>1</v>
      </c>
      <c r="J21" s="19">
        <v>5.7314599999999999E-3</v>
      </c>
      <c r="K21" s="20">
        <v>0</v>
      </c>
      <c r="L21" s="19">
        <v>0</v>
      </c>
      <c r="M21" s="19">
        <v>5.7314599999999999E-3</v>
      </c>
      <c r="N21" s="21">
        <v>1.020985515</v>
      </c>
      <c r="O21" s="21">
        <v>1.017939529</v>
      </c>
      <c r="P21" s="22">
        <v>-8.1981689999999999E-3</v>
      </c>
    </row>
    <row r="22" spans="1:16">
      <c r="A22" s="15">
        <v>45691</v>
      </c>
      <c r="B22" s="16">
        <v>173.62554929999999</v>
      </c>
      <c r="C22" s="16">
        <v>610.78179929999999</v>
      </c>
      <c r="D22" s="16">
        <v>-47.179940510000002</v>
      </c>
      <c r="E22" s="16">
        <v>-41.821328370000003</v>
      </c>
      <c r="F22" s="16">
        <v>6.6796321140000003</v>
      </c>
      <c r="G22" s="17">
        <v>-0.80223162800000003</v>
      </c>
      <c r="H22" s="18">
        <v>1</v>
      </c>
      <c r="I22" s="18">
        <v>1</v>
      </c>
      <c r="J22" s="19">
        <v>-5.7966290000000002E-3</v>
      </c>
      <c r="K22" s="20">
        <v>0</v>
      </c>
      <c r="L22" s="19">
        <v>0</v>
      </c>
      <c r="M22" s="19">
        <v>-5.7966290000000002E-3</v>
      </c>
      <c r="N22" s="21">
        <v>1.0150672409999999</v>
      </c>
      <c r="O22" s="21">
        <v>1.012038912</v>
      </c>
      <c r="P22" s="22">
        <v>-1.3947276E-2</v>
      </c>
    </row>
    <row r="23" spans="1:16">
      <c r="A23" s="15">
        <v>45692</v>
      </c>
      <c r="B23" s="16">
        <v>173.26089479999999</v>
      </c>
      <c r="C23" s="16">
        <v>612.53009029999998</v>
      </c>
      <c r="D23" s="16">
        <v>-47.929167820000004</v>
      </c>
      <c r="E23" s="16">
        <v>-42.631078520000003</v>
      </c>
      <c r="F23" s="16">
        <v>6.7903918909999996</v>
      </c>
      <c r="G23" s="17">
        <v>-0.78023321499999998</v>
      </c>
      <c r="H23" s="18">
        <v>1</v>
      </c>
      <c r="I23" s="18">
        <v>1</v>
      </c>
      <c r="J23" s="19">
        <v>-2.432717E-3</v>
      </c>
      <c r="K23" s="20">
        <v>0</v>
      </c>
      <c r="L23" s="19">
        <v>0</v>
      </c>
      <c r="M23" s="19">
        <v>-2.432717E-3</v>
      </c>
      <c r="N23" s="21">
        <v>1.01259787</v>
      </c>
      <c r="O23" s="21">
        <v>1.009576907</v>
      </c>
      <c r="P23" s="22">
        <v>-1.6346064E-2</v>
      </c>
    </row>
    <row r="24" spans="1:16">
      <c r="A24" s="15">
        <v>45693</v>
      </c>
      <c r="B24" s="16">
        <v>174.24925229999999</v>
      </c>
      <c r="C24" s="16">
        <v>623.41534420000005</v>
      </c>
      <c r="D24" s="16">
        <v>-49.335247019999997</v>
      </c>
      <c r="E24" s="16">
        <v>-43.729573039999998</v>
      </c>
      <c r="F24" s="16">
        <v>6.712998163</v>
      </c>
      <c r="G24" s="17">
        <v>-0.83504774599999998</v>
      </c>
      <c r="H24" s="18">
        <v>1</v>
      </c>
      <c r="I24" s="18">
        <v>1</v>
      </c>
      <c r="J24" s="19">
        <v>-4.5651989999999998E-3</v>
      </c>
      <c r="K24" s="20">
        <v>0</v>
      </c>
      <c r="L24" s="19">
        <v>0</v>
      </c>
      <c r="M24" s="19">
        <v>-4.5651989999999998E-3</v>
      </c>
      <c r="N24" s="21">
        <v>1.00797516</v>
      </c>
      <c r="O24" s="21">
        <v>1.004967988</v>
      </c>
      <c r="P24" s="22">
        <v>-2.0836639000000001E-2</v>
      </c>
    </row>
    <row r="25" spans="1:16">
      <c r="A25" s="15">
        <v>45694</v>
      </c>
      <c r="B25" s="16">
        <v>175.87095640000001</v>
      </c>
      <c r="C25" s="16">
        <v>635.74926760000005</v>
      </c>
      <c r="D25" s="16">
        <v>-50.426644459999999</v>
      </c>
      <c r="E25" s="16">
        <v>-44.98626273</v>
      </c>
      <c r="F25" s="16">
        <v>6.4054607490000004</v>
      </c>
      <c r="G25" s="17">
        <v>-0.84933495699999995</v>
      </c>
      <c r="H25" s="18">
        <v>1</v>
      </c>
      <c r="I25" s="18">
        <v>1</v>
      </c>
      <c r="J25" s="19">
        <v>-3.5050070000000001E-3</v>
      </c>
      <c r="K25" s="20">
        <v>0</v>
      </c>
      <c r="L25" s="19">
        <v>0</v>
      </c>
      <c r="M25" s="19">
        <v>-3.5050070000000001E-3</v>
      </c>
      <c r="N25" s="21">
        <v>1.0044421990000001</v>
      </c>
      <c r="O25" s="21">
        <v>1.0014455680000001</v>
      </c>
      <c r="P25" s="22">
        <v>-2.4268614000000001E-2</v>
      </c>
    </row>
    <row r="26" spans="1:16">
      <c r="A26" s="15">
        <v>45695</v>
      </c>
      <c r="B26" s="16">
        <v>172.72352599999999</v>
      </c>
      <c r="C26" s="16">
        <v>633.50860599999999</v>
      </c>
      <c r="D26" s="16">
        <v>-53.081195010000002</v>
      </c>
      <c r="E26" s="16">
        <v>-46.644224000000001</v>
      </c>
      <c r="F26" s="16">
        <v>5.5972141689999999</v>
      </c>
      <c r="G26" s="17">
        <v>-1.150031214</v>
      </c>
      <c r="H26" s="18">
        <v>1</v>
      </c>
      <c r="I26" s="18">
        <v>1</v>
      </c>
      <c r="J26" s="19">
        <v>-8.4080019999999995E-3</v>
      </c>
      <c r="K26" s="20">
        <v>0</v>
      </c>
      <c r="L26" s="19">
        <v>0</v>
      </c>
      <c r="M26" s="19">
        <v>-8.4080019999999995E-3</v>
      </c>
      <c r="N26" s="21">
        <v>0.99599684700000002</v>
      </c>
      <c r="O26" s="21">
        <v>0.99302541099999997</v>
      </c>
      <c r="P26" s="22">
        <v>-3.2472566000000001E-2</v>
      </c>
    </row>
    <row r="27" spans="1:16">
      <c r="A27" s="15">
        <v>45698</v>
      </c>
      <c r="B27" s="16">
        <v>173.02099609999999</v>
      </c>
      <c r="C27" s="16">
        <v>628.32189940000001</v>
      </c>
      <c r="D27" s="16">
        <v>-51.642801540000001</v>
      </c>
      <c r="E27" s="16">
        <v>-48.345036039999997</v>
      </c>
      <c r="F27" s="16">
        <v>2.9754364689999999</v>
      </c>
      <c r="G27" s="17">
        <v>-1.1083299980000001</v>
      </c>
      <c r="H27" s="18">
        <v>1</v>
      </c>
      <c r="I27" s="18">
        <v>1</v>
      </c>
      <c r="J27" s="19">
        <v>4.6090999999999997E-3</v>
      </c>
      <c r="K27" s="20">
        <v>0</v>
      </c>
      <c r="L27" s="19">
        <v>0</v>
      </c>
      <c r="M27" s="19">
        <v>4.6090999999999997E-3</v>
      </c>
      <c r="N27" s="21">
        <v>1.0005874960000001</v>
      </c>
      <c r="O27" s="21">
        <v>0.99760236499999999</v>
      </c>
      <c r="P27" s="22">
        <v>-2.8013135000000002E-2</v>
      </c>
    </row>
    <row r="28" spans="1:16">
      <c r="A28" s="15">
        <v>45699</v>
      </c>
      <c r="B28" s="16">
        <v>172.0038452</v>
      </c>
      <c r="C28" s="16">
        <v>625.14416500000004</v>
      </c>
      <c r="D28" s="16">
        <v>-51.960944009999999</v>
      </c>
      <c r="E28" s="16">
        <v>-48.920586849999999</v>
      </c>
      <c r="F28" s="16">
        <v>2.9489044500000001</v>
      </c>
      <c r="G28" s="17">
        <v>-1.0310124380000001</v>
      </c>
      <c r="H28" s="18">
        <v>1</v>
      </c>
      <c r="I28" s="18">
        <v>1</v>
      </c>
      <c r="J28" s="19">
        <v>-1.0221989999999999E-3</v>
      </c>
      <c r="K28" s="20">
        <v>0</v>
      </c>
      <c r="L28" s="19">
        <v>0</v>
      </c>
      <c r="M28" s="19">
        <v>-1.0221989999999999E-3</v>
      </c>
      <c r="N28" s="21">
        <v>0.99956469699999995</v>
      </c>
      <c r="O28" s="21">
        <v>0.99658261699999995</v>
      </c>
      <c r="P28" s="22">
        <v>-2.9006699E-2</v>
      </c>
    </row>
    <row r="29" spans="1:16">
      <c r="A29" s="15">
        <v>45700</v>
      </c>
      <c r="B29" s="16">
        <v>172.71395870000001</v>
      </c>
      <c r="C29" s="16">
        <v>626.84405519999996</v>
      </c>
      <c r="D29" s="16">
        <v>-51.624756480000002</v>
      </c>
      <c r="E29" s="16">
        <v>-49.652073340000001</v>
      </c>
      <c r="F29" s="16">
        <v>2.328843424</v>
      </c>
      <c r="G29" s="17">
        <v>-0.847065595</v>
      </c>
      <c r="H29" s="18">
        <v>1</v>
      </c>
      <c r="I29" s="18">
        <v>1</v>
      </c>
      <c r="J29" s="19">
        <v>1.0861670000000001E-3</v>
      </c>
      <c r="K29" s="20">
        <v>0</v>
      </c>
      <c r="L29" s="19">
        <v>0</v>
      </c>
      <c r="M29" s="19">
        <v>1.0861670000000001E-3</v>
      </c>
      <c r="N29" s="21">
        <v>1.000650391</v>
      </c>
      <c r="O29" s="21">
        <v>0.99766507199999999</v>
      </c>
      <c r="P29" s="22">
        <v>-2.7952037999999998E-2</v>
      </c>
    </row>
    <row r="30" spans="1:16">
      <c r="A30" s="15">
        <v>45701</v>
      </c>
      <c r="B30" s="16">
        <v>173.49119569999999</v>
      </c>
      <c r="C30" s="16">
        <v>626.79583739999998</v>
      </c>
      <c r="D30" s="16">
        <v>-50.83691305</v>
      </c>
      <c r="E30" s="16">
        <v>-49.725102759999999</v>
      </c>
      <c r="F30" s="16">
        <v>2.353011806</v>
      </c>
      <c r="G30" s="17">
        <v>-0.47250519000000002</v>
      </c>
      <c r="H30" s="18">
        <v>0</v>
      </c>
      <c r="I30" s="18">
        <v>1</v>
      </c>
      <c r="J30" s="19">
        <v>2.536511E-3</v>
      </c>
      <c r="K30" s="20">
        <v>0</v>
      </c>
      <c r="L30" s="19">
        <v>0</v>
      </c>
      <c r="M30" s="19">
        <v>2.536511E-3</v>
      </c>
      <c r="N30" s="21">
        <v>1.0031885519999999</v>
      </c>
      <c r="O30" s="21">
        <v>1.0001956599999999</v>
      </c>
      <c r="P30" s="22">
        <v>-2.5486427999999998E-2</v>
      </c>
    </row>
    <row r="31" spans="1:16">
      <c r="A31" s="15">
        <v>45702</v>
      </c>
      <c r="B31" s="16">
        <v>175.63104250000001</v>
      </c>
      <c r="C31" s="16">
        <v>637.99981690000004</v>
      </c>
      <c r="D31" s="16">
        <v>-51.161613269999997</v>
      </c>
      <c r="E31" s="16">
        <v>-49.808812529999997</v>
      </c>
      <c r="F31" s="16">
        <v>2.3873942920000002</v>
      </c>
      <c r="G31" s="17">
        <v>-0.56664320000000001</v>
      </c>
      <c r="H31" s="18">
        <v>0</v>
      </c>
      <c r="I31" s="18">
        <v>0</v>
      </c>
      <c r="J31" s="19">
        <v>0</v>
      </c>
      <c r="K31" s="20">
        <v>1</v>
      </c>
      <c r="L31" s="19">
        <v>1E-3</v>
      </c>
      <c r="M31" s="19">
        <v>-1E-3</v>
      </c>
      <c r="N31" s="21">
        <v>1.0031885519999999</v>
      </c>
      <c r="O31" s="21">
        <v>0.999195465</v>
      </c>
      <c r="P31" s="22">
        <v>-2.6460941000000002E-2</v>
      </c>
    </row>
    <row r="32" spans="1:16">
      <c r="A32" s="15">
        <v>45706</v>
      </c>
      <c r="B32" s="16">
        <v>178.92240910000001</v>
      </c>
      <c r="C32" s="16">
        <v>649.24243160000003</v>
      </c>
      <c r="D32" s="16">
        <v>-50.343292339999998</v>
      </c>
      <c r="E32" s="16">
        <v>-50.073909120000003</v>
      </c>
      <c r="F32" s="16">
        <v>2.2387823309999999</v>
      </c>
      <c r="G32" s="17">
        <v>-0.120325774</v>
      </c>
      <c r="H32" s="18">
        <v>0</v>
      </c>
      <c r="I32" s="18">
        <v>0</v>
      </c>
      <c r="J32" s="19">
        <v>0</v>
      </c>
      <c r="K32" s="20">
        <v>0</v>
      </c>
      <c r="L32" s="19">
        <v>0</v>
      </c>
      <c r="M32" s="19">
        <v>0</v>
      </c>
      <c r="N32" s="21">
        <v>1.0031885519999999</v>
      </c>
      <c r="O32" s="21">
        <v>0.999195465</v>
      </c>
      <c r="P32" s="22">
        <v>-2.6460941000000002E-2</v>
      </c>
    </row>
    <row r="33" spans="1:16">
      <c r="A33" s="15">
        <v>45707</v>
      </c>
      <c r="B33" s="16">
        <v>188.38381960000001</v>
      </c>
      <c r="C33" s="16">
        <v>645.34045409999999</v>
      </c>
      <c r="D33" s="16">
        <v>-40.023561149999999</v>
      </c>
      <c r="E33" s="16">
        <v>-49.628839720000002</v>
      </c>
      <c r="F33" s="16">
        <v>3.458671963</v>
      </c>
      <c r="G33" s="17">
        <v>2.7771580170000001</v>
      </c>
      <c r="H33" s="18">
        <v>-1</v>
      </c>
      <c r="I33" s="18">
        <v>0</v>
      </c>
      <c r="J33" s="19">
        <v>0</v>
      </c>
      <c r="K33" s="20">
        <v>0</v>
      </c>
      <c r="L33" s="19">
        <v>0</v>
      </c>
      <c r="M33" s="19">
        <v>0</v>
      </c>
      <c r="N33" s="21">
        <v>1.0031885519999999</v>
      </c>
      <c r="O33" s="21">
        <v>0.999195465</v>
      </c>
      <c r="P33" s="22">
        <v>-2.6460941000000002E-2</v>
      </c>
    </row>
    <row r="34" spans="1:16">
      <c r="A34" s="15">
        <v>45708</v>
      </c>
      <c r="B34" s="16">
        <v>195.71495060000001</v>
      </c>
      <c r="C34" s="16">
        <v>620.33422849999999</v>
      </c>
      <c r="D34" s="16">
        <v>-27.19179364</v>
      </c>
      <c r="E34" s="16">
        <v>-47.963160819999999</v>
      </c>
      <c r="F34" s="16">
        <v>7.3590798829999997</v>
      </c>
      <c r="G34" s="17">
        <v>2.8225494900000001</v>
      </c>
      <c r="H34" s="18">
        <v>-1</v>
      </c>
      <c r="I34" s="18">
        <v>-1</v>
      </c>
      <c r="J34" s="19">
        <v>-3.8844146000000003E-2</v>
      </c>
      <c r="K34" s="20">
        <v>1</v>
      </c>
      <c r="L34" s="19">
        <v>1E-3</v>
      </c>
      <c r="M34" s="19">
        <v>-3.9844145999999997E-2</v>
      </c>
      <c r="N34" s="21">
        <v>0.96422054899999998</v>
      </c>
      <c r="O34" s="21">
        <v>0.95938337399999996</v>
      </c>
      <c r="P34" s="22">
        <v>-6.5250773999999997E-2</v>
      </c>
    </row>
    <row r="35" spans="1:16">
      <c r="A35" s="15">
        <v>45709</v>
      </c>
      <c r="B35" s="16">
        <v>193.83418270000001</v>
      </c>
      <c r="C35" s="16">
        <v>604.24285889999999</v>
      </c>
      <c r="D35" s="16">
        <v>-25.532931900000001</v>
      </c>
      <c r="E35" s="16">
        <v>-46.096807820000002</v>
      </c>
      <c r="F35" s="16">
        <v>9.8027424540000005</v>
      </c>
      <c r="G35" s="17">
        <v>2.097767642</v>
      </c>
      <c r="H35" s="18">
        <v>-1</v>
      </c>
      <c r="I35" s="18">
        <v>-1</v>
      </c>
      <c r="J35" s="19">
        <v>-4.9940100000000001E-3</v>
      </c>
      <c r="K35" s="20">
        <v>0</v>
      </c>
      <c r="L35" s="19">
        <v>0</v>
      </c>
      <c r="M35" s="19">
        <v>-4.9940100000000001E-3</v>
      </c>
      <c r="N35" s="21">
        <v>0.959405222</v>
      </c>
      <c r="O35" s="21">
        <v>0.954592204</v>
      </c>
      <c r="P35" s="22">
        <v>-6.9918920999999995E-2</v>
      </c>
    </row>
    <row r="36" spans="1:16">
      <c r="A36" s="15">
        <v>45712</v>
      </c>
      <c r="B36" s="16">
        <v>192.6251221</v>
      </c>
      <c r="C36" s="16">
        <v>604.76458739999998</v>
      </c>
      <c r="D36" s="16">
        <v>-26.85675754</v>
      </c>
      <c r="E36" s="16">
        <v>-44.22360037</v>
      </c>
      <c r="F36" s="16">
        <v>11.178780740000001</v>
      </c>
      <c r="G36" s="17">
        <v>1.553554294</v>
      </c>
      <c r="H36" s="18">
        <v>-1</v>
      </c>
      <c r="I36" s="18">
        <v>-1</v>
      </c>
      <c r="J36" s="19">
        <v>4.0514949999999996E-3</v>
      </c>
      <c r="K36" s="20">
        <v>0</v>
      </c>
      <c r="L36" s="19">
        <v>0</v>
      </c>
      <c r="M36" s="19">
        <v>4.0514949999999996E-3</v>
      </c>
      <c r="N36" s="21">
        <v>0.96329224700000005</v>
      </c>
      <c r="O36" s="21">
        <v>0.95845972999999995</v>
      </c>
      <c r="P36" s="22">
        <v>-6.6150702000000006E-2</v>
      </c>
    </row>
    <row r="37" spans="1:16">
      <c r="A37" s="15">
        <v>45713</v>
      </c>
      <c r="B37" s="16">
        <v>191.89584350000001</v>
      </c>
      <c r="C37" s="16">
        <v>593.9179077</v>
      </c>
      <c r="D37" s="16">
        <v>-25.200084570000001</v>
      </c>
      <c r="E37" s="16">
        <v>-42.121387040000002</v>
      </c>
      <c r="F37" s="16">
        <v>12.228882779999999</v>
      </c>
      <c r="G37" s="17">
        <v>1.38371614</v>
      </c>
      <c r="H37" s="18">
        <v>-1</v>
      </c>
      <c r="I37" s="18">
        <v>-1</v>
      </c>
      <c r="J37" s="19">
        <v>-5.0871930000000003E-3</v>
      </c>
      <c r="K37" s="20">
        <v>0</v>
      </c>
      <c r="L37" s="19">
        <v>0</v>
      </c>
      <c r="M37" s="19">
        <v>-5.0871930000000003E-3</v>
      </c>
      <c r="N37" s="21">
        <v>0.95839179399999996</v>
      </c>
      <c r="O37" s="21">
        <v>0.95358385999999995</v>
      </c>
      <c r="P37" s="22">
        <v>-7.0901373000000004E-2</v>
      </c>
    </row>
    <row r="38" spans="1:16">
      <c r="A38" s="15">
        <v>45714</v>
      </c>
      <c r="B38" s="16">
        <v>190.226181</v>
      </c>
      <c r="C38" s="16">
        <v>596.68029790000003</v>
      </c>
      <c r="D38" s="16">
        <v>-27.47739189</v>
      </c>
      <c r="E38" s="16">
        <v>-39.987736779999999</v>
      </c>
      <c r="F38" s="16">
        <v>12.37556594</v>
      </c>
      <c r="G38" s="17">
        <v>1.0108907300000001</v>
      </c>
      <c r="H38" s="18">
        <v>-1</v>
      </c>
      <c r="I38" s="18">
        <v>-1</v>
      </c>
      <c r="J38" s="19">
        <v>7.0605340000000003E-3</v>
      </c>
      <c r="K38" s="20">
        <v>0</v>
      </c>
      <c r="L38" s="19">
        <v>0</v>
      </c>
      <c r="M38" s="19">
        <v>7.0605340000000003E-3</v>
      </c>
      <c r="N38" s="21">
        <v>0.965158552</v>
      </c>
      <c r="O38" s="21">
        <v>0.96031667200000004</v>
      </c>
      <c r="P38" s="22">
        <v>-6.4341440999999999E-2</v>
      </c>
    </row>
    <row r="39" spans="1:16">
      <c r="A39" s="15">
        <v>45715</v>
      </c>
      <c r="B39" s="16">
        <v>183.5667267</v>
      </c>
      <c r="C39" s="16">
        <v>587.24377440000001</v>
      </c>
      <c r="D39" s="16">
        <v>-32.061087729999997</v>
      </c>
      <c r="E39" s="16">
        <v>-38.355927299999998</v>
      </c>
      <c r="F39" s="16">
        <v>11.983847320000001</v>
      </c>
      <c r="G39" s="17">
        <v>0.52527701699999996</v>
      </c>
      <c r="H39" s="18">
        <v>-1</v>
      </c>
      <c r="I39" s="18">
        <v>-1</v>
      </c>
      <c r="J39" s="19">
        <v>1.4258178999999999E-2</v>
      </c>
      <c r="K39" s="20">
        <v>0</v>
      </c>
      <c r="L39" s="19">
        <v>0</v>
      </c>
      <c r="M39" s="19">
        <v>1.4258178999999999E-2</v>
      </c>
      <c r="N39" s="21">
        <v>0.97891995499999995</v>
      </c>
      <c r="O39" s="21">
        <v>0.97400903900000002</v>
      </c>
      <c r="P39" s="22">
        <v>-5.1000653999999999E-2</v>
      </c>
    </row>
    <row r="40" spans="1:16">
      <c r="A40" s="15">
        <v>45716</v>
      </c>
      <c r="B40" s="16">
        <v>188.06715389999999</v>
      </c>
      <c r="C40" s="16">
        <v>604.02624509999998</v>
      </c>
      <c r="D40" s="16">
        <v>-31.252312029999999</v>
      </c>
      <c r="E40" s="16">
        <v>-36.630207970000001</v>
      </c>
      <c r="F40" s="16">
        <v>11.319195860000001</v>
      </c>
      <c r="G40" s="17">
        <v>0.47511289699999998</v>
      </c>
      <c r="H40" s="18">
        <v>0</v>
      </c>
      <c r="I40" s="18">
        <v>-1</v>
      </c>
      <c r="J40" s="19">
        <v>-2.5860700000000002E-3</v>
      </c>
      <c r="K40" s="20">
        <v>0</v>
      </c>
      <c r="L40" s="19">
        <v>0</v>
      </c>
      <c r="M40" s="19">
        <v>-2.5860700000000002E-3</v>
      </c>
      <c r="N40" s="21">
        <v>0.97638839899999996</v>
      </c>
      <c r="O40" s="21">
        <v>0.97149018300000001</v>
      </c>
      <c r="P40" s="22">
        <v>-5.3454833E-2</v>
      </c>
    </row>
    <row r="41" spans="1:16">
      <c r="A41" s="15">
        <v>45719</v>
      </c>
      <c r="B41" s="16">
        <v>186.5318298</v>
      </c>
      <c r="C41" s="16">
        <v>587.49621579999996</v>
      </c>
      <c r="D41" s="16">
        <v>-29.151514290000001</v>
      </c>
      <c r="E41" s="16">
        <v>-34.757437779999997</v>
      </c>
      <c r="F41" s="16">
        <v>10.437577660000001</v>
      </c>
      <c r="G41" s="17">
        <v>0.53709046999999999</v>
      </c>
      <c r="H41" s="18">
        <v>0</v>
      </c>
      <c r="I41" s="18">
        <v>0</v>
      </c>
      <c r="J41" s="19">
        <v>0</v>
      </c>
      <c r="K41" s="20">
        <v>1</v>
      </c>
      <c r="L41" s="19">
        <v>1E-3</v>
      </c>
      <c r="M41" s="19">
        <v>-1E-3</v>
      </c>
      <c r="N41" s="21">
        <v>0.97638839899999996</v>
      </c>
      <c r="O41" s="21">
        <v>0.97051869300000004</v>
      </c>
      <c r="P41" s="22">
        <v>-5.4401378E-2</v>
      </c>
    </row>
    <row r="42" spans="1:16">
      <c r="A42" s="15">
        <v>45720</v>
      </c>
      <c r="B42" s="16">
        <v>186.96363830000001</v>
      </c>
      <c r="C42" s="16">
        <v>564.08398439999996</v>
      </c>
      <c r="D42" s="16">
        <v>-23.569701269999999</v>
      </c>
      <c r="E42" s="16">
        <v>-32.485170140000001</v>
      </c>
      <c r="F42" s="16">
        <v>9.549063834</v>
      </c>
      <c r="G42" s="17">
        <v>0.93364847200000001</v>
      </c>
      <c r="H42" s="18">
        <v>0</v>
      </c>
      <c r="I42" s="18">
        <v>0</v>
      </c>
      <c r="J42" s="19">
        <v>0</v>
      </c>
      <c r="K42" s="20">
        <v>0</v>
      </c>
      <c r="L42" s="19">
        <v>0</v>
      </c>
      <c r="M42" s="19">
        <v>0</v>
      </c>
      <c r="N42" s="21">
        <v>0.97638839899999996</v>
      </c>
      <c r="O42" s="21">
        <v>0.97051869300000004</v>
      </c>
      <c r="P42" s="22">
        <v>-5.4401378E-2</v>
      </c>
    </row>
    <row r="43" spans="1:16">
      <c r="A43" s="15">
        <v>45721</v>
      </c>
      <c r="B43" s="16">
        <v>187.66413879999999</v>
      </c>
      <c r="C43" s="16">
        <v>575.6639404</v>
      </c>
      <c r="D43" s="16">
        <v>-25.416451630000001</v>
      </c>
      <c r="E43" s="16">
        <v>-30.339739999999999</v>
      </c>
      <c r="F43" s="16">
        <v>7.6808713329999998</v>
      </c>
      <c r="G43" s="17">
        <v>0.64098045100000001</v>
      </c>
      <c r="H43" s="18">
        <v>0</v>
      </c>
      <c r="I43" s="18">
        <v>0</v>
      </c>
      <c r="J43" s="19">
        <v>0</v>
      </c>
      <c r="K43" s="20">
        <v>0</v>
      </c>
      <c r="L43" s="19">
        <v>0</v>
      </c>
      <c r="M43" s="19">
        <v>0</v>
      </c>
      <c r="N43" s="21">
        <v>0.97638839899999996</v>
      </c>
      <c r="O43" s="21">
        <v>0.97051869300000004</v>
      </c>
      <c r="P43" s="22">
        <v>-5.4401378E-2</v>
      </c>
    </row>
    <row r="44" spans="1:16">
      <c r="A44" s="15">
        <v>45722</v>
      </c>
      <c r="B44" s="16">
        <v>181.6859589</v>
      </c>
      <c r="C44" s="16">
        <v>551.00939940000001</v>
      </c>
      <c r="D44" s="16">
        <v>-25.971355330000002</v>
      </c>
      <c r="E44" s="16">
        <v>-28.308745250000001</v>
      </c>
      <c r="F44" s="16">
        <v>4.4557932779999998</v>
      </c>
      <c r="G44" s="17">
        <v>0.52457324000000005</v>
      </c>
      <c r="H44" s="18">
        <v>0</v>
      </c>
      <c r="I44" s="18">
        <v>0</v>
      </c>
      <c r="J44" s="19">
        <v>0</v>
      </c>
      <c r="K44" s="20">
        <v>0</v>
      </c>
      <c r="L44" s="19">
        <v>0</v>
      </c>
      <c r="M44" s="19">
        <v>0</v>
      </c>
      <c r="N44" s="21">
        <v>0.97638839899999996</v>
      </c>
      <c r="O44" s="21">
        <v>0.97051869300000004</v>
      </c>
      <c r="P44" s="22">
        <v>-5.4401378E-2</v>
      </c>
    </row>
    <row r="45" spans="1:16">
      <c r="A45" s="15">
        <v>45723</v>
      </c>
      <c r="B45" s="16">
        <v>182.8182678</v>
      </c>
      <c r="C45" s="16">
        <v>543.24420169999996</v>
      </c>
      <c r="D45" s="16">
        <v>-23.13093052</v>
      </c>
      <c r="E45" s="16">
        <v>-26.901026030000001</v>
      </c>
      <c r="F45" s="16">
        <v>2.7664845439999999</v>
      </c>
      <c r="G45" s="17">
        <v>1.362774833</v>
      </c>
      <c r="H45" s="18">
        <v>0</v>
      </c>
      <c r="I45" s="18">
        <v>0</v>
      </c>
      <c r="J45" s="19">
        <v>0</v>
      </c>
      <c r="K45" s="20">
        <v>0</v>
      </c>
      <c r="L45" s="19">
        <v>0</v>
      </c>
      <c r="M45" s="19">
        <v>0</v>
      </c>
      <c r="N45" s="21">
        <v>0.97638839899999996</v>
      </c>
      <c r="O45" s="21">
        <v>0.97051869300000004</v>
      </c>
      <c r="P45" s="22">
        <v>-5.4401378E-2</v>
      </c>
    </row>
    <row r="46" spans="1:16">
      <c r="A46" s="15">
        <v>45726</v>
      </c>
      <c r="B46" s="16">
        <v>178.95117189999999</v>
      </c>
      <c r="C46" s="16">
        <v>516.05609130000005</v>
      </c>
      <c r="D46" s="16">
        <v>-21.01743926</v>
      </c>
      <c r="E46" s="16">
        <v>-26.3864965</v>
      </c>
      <c r="F46" s="16">
        <v>3.2409729719999998</v>
      </c>
      <c r="G46" s="17">
        <v>1.6566189490000001</v>
      </c>
      <c r="H46" s="18">
        <v>0</v>
      </c>
      <c r="I46" s="18">
        <v>0</v>
      </c>
      <c r="J46" s="19">
        <v>0</v>
      </c>
      <c r="K46" s="20">
        <v>0</v>
      </c>
      <c r="L46" s="19">
        <v>0</v>
      </c>
      <c r="M46" s="19">
        <v>0</v>
      </c>
      <c r="N46" s="21">
        <v>0.97638839899999996</v>
      </c>
      <c r="O46" s="21">
        <v>0.97051869300000004</v>
      </c>
      <c r="P46" s="22">
        <v>-5.4401378E-2</v>
      </c>
    </row>
    <row r="47" spans="1:16">
      <c r="A47" s="15">
        <v>45727</v>
      </c>
      <c r="B47" s="16">
        <v>170.17106630000001</v>
      </c>
      <c r="C47" s="16">
        <v>515.83300780000002</v>
      </c>
      <c r="D47" s="16">
        <v>-29.748473019999999</v>
      </c>
      <c r="E47" s="16">
        <v>-26.73779159</v>
      </c>
      <c r="F47" s="16">
        <v>3.3660926710000001</v>
      </c>
      <c r="G47" s="17">
        <v>-0.89441430300000002</v>
      </c>
      <c r="H47" s="18">
        <v>0</v>
      </c>
      <c r="I47" s="18">
        <v>0</v>
      </c>
      <c r="J47" s="19">
        <v>0</v>
      </c>
      <c r="K47" s="20">
        <v>0</v>
      </c>
      <c r="L47" s="19">
        <v>0</v>
      </c>
      <c r="M47" s="19">
        <v>0</v>
      </c>
      <c r="N47" s="21">
        <v>0.97638839899999996</v>
      </c>
      <c r="O47" s="21">
        <v>0.97051869300000004</v>
      </c>
      <c r="P47" s="22">
        <v>-5.4401378E-2</v>
      </c>
    </row>
    <row r="48" spans="1:16">
      <c r="A48" s="15">
        <v>45728</v>
      </c>
      <c r="B48" s="16">
        <v>168.5973511</v>
      </c>
      <c r="C48" s="16">
        <v>519.98736570000005</v>
      </c>
      <c r="D48" s="16">
        <v>-32.236025179999999</v>
      </c>
      <c r="E48" s="16">
        <v>-27.18606389</v>
      </c>
      <c r="F48" s="16">
        <v>3.722675255</v>
      </c>
      <c r="G48" s="17">
        <v>-1.356540912</v>
      </c>
      <c r="H48" s="18">
        <v>0</v>
      </c>
      <c r="I48" s="18">
        <v>0</v>
      </c>
      <c r="J48" s="19">
        <v>0</v>
      </c>
      <c r="K48" s="20">
        <v>0</v>
      </c>
      <c r="L48" s="19">
        <v>0</v>
      </c>
      <c r="M48" s="19">
        <v>0</v>
      </c>
      <c r="N48" s="21">
        <v>0.97638839899999996</v>
      </c>
      <c r="O48" s="21">
        <v>0.97051869300000004</v>
      </c>
      <c r="P48" s="22">
        <v>-5.4401378E-2</v>
      </c>
    </row>
    <row r="49" spans="1:16">
      <c r="A49" s="15">
        <v>45729</v>
      </c>
      <c r="B49" s="16">
        <v>166.58224490000001</v>
      </c>
      <c r="C49" s="16">
        <v>509.40728760000002</v>
      </c>
      <c r="D49" s="16">
        <v>-31.923824369999998</v>
      </c>
      <c r="E49" s="16">
        <v>-27.746375539999999</v>
      </c>
      <c r="F49" s="16">
        <v>3.8984413230000001</v>
      </c>
      <c r="G49" s="17">
        <v>-1.0715689879999999</v>
      </c>
      <c r="H49" s="18">
        <v>0</v>
      </c>
      <c r="I49" s="18">
        <v>0</v>
      </c>
      <c r="J49" s="19">
        <v>0</v>
      </c>
      <c r="K49" s="20">
        <v>0</v>
      </c>
      <c r="L49" s="19">
        <v>0</v>
      </c>
      <c r="M49" s="19">
        <v>0</v>
      </c>
      <c r="N49" s="21">
        <v>0.97638839899999996</v>
      </c>
      <c r="O49" s="21">
        <v>0.97051869300000004</v>
      </c>
      <c r="P49" s="22">
        <v>-5.4401378E-2</v>
      </c>
    </row>
    <row r="50" spans="1:16">
      <c r="A50" s="15">
        <v>45730</v>
      </c>
      <c r="B50" s="16">
        <v>169.28823850000001</v>
      </c>
      <c r="C50" s="16">
        <v>525.52008060000003</v>
      </c>
      <c r="D50" s="16">
        <v>-32.762172790000001</v>
      </c>
      <c r="E50" s="16">
        <v>-28.186773949999999</v>
      </c>
      <c r="F50" s="16">
        <v>4.1553334069999996</v>
      </c>
      <c r="G50" s="17">
        <v>-1.1010906680000001</v>
      </c>
      <c r="H50" s="18">
        <v>0</v>
      </c>
      <c r="I50" s="18">
        <v>0</v>
      </c>
      <c r="J50" s="19">
        <v>0</v>
      </c>
      <c r="K50" s="20">
        <v>0</v>
      </c>
      <c r="L50" s="19">
        <v>0</v>
      </c>
      <c r="M50" s="19">
        <v>0</v>
      </c>
      <c r="N50" s="21">
        <v>0.97638839899999996</v>
      </c>
      <c r="O50" s="21">
        <v>0.97051869300000004</v>
      </c>
      <c r="P50" s="22">
        <v>-5.4401378E-2</v>
      </c>
    </row>
    <row r="51" spans="1:16">
      <c r="A51" s="15">
        <v>45733</v>
      </c>
      <c r="B51" s="16">
        <v>172.71395870000001</v>
      </c>
      <c r="C51" s="16">
        <v>535.15869139999995</v>
      </c>
      <c r="D51" s="16">
        <v>-31.45666439</v>
      </c>
      <c r="E51" s="16">
        <v>-28.13640534</v>
      </c>
      <c r="F51" s="16">
        <v>4.1074896689999996</v>
      </c>
      <c r="G51" s="17">
        <v>-0.80834264099999997</v>
      </c>
      <c r="H51" s="18">
        <v>0</v>
      </c>
      <c r="I51" s="18">
        <v>0</v>
      </c>
      <c r="J51" s="19">
        <v>0</v>
      </c>
      <c r="K51" s="20">
        <v>0</v>
      </c>
      <c r="L51" s="19">
        <v>0</v>
      </c>
      <c r="M51" s="19">
        <v>0</v>
      </c>
      <c r="N51" s="21">
        <v>0.97638839899999996</v>
      </c>
      <c r="O51" s="21">
        <v>0.97051869300000004</v>
      </c>
      <c r="P51" s="22">
        <v>-5.4401378E-2</v>
      </c>
    </row>
    <row r="52" spans="1:16">
      <c r="A52" s="15">
        <v>45734</v>
      </c>
      <c r="B52" s="16">
        <v>172.19577029999999</v>
      </c>
      <c r="C52" s="16">
        <v>535.58575440000004</v>
      </c>
      <c r="D52" s="16">
        <v>-32.068794199999999</v>
      </c>
      <c r="E52" s="16">
        <v>-28.20444552</v>
      </c>
      <c r="F52" s="16">
        <v>4.1700821799999996</v>
      </c>
      <c r="G52" s="17">
        <v>-0.92668405899999995</v>
      </c>
      <c r="H52" s="18">
        <v>0</v>
      </c>
      <c r="I52" s="18">
        <v>0</v>
      </c>
      <c r="J52" s="19">
        <v>0</v>
      </c>
      <c r="K52" s="20">
        <v>0</v>
      </c>
      <c r="L52" s="19">
        <v>0</v>
      </c>
      <c r="M52" s="19">
        <v>0</v>
      </c>
      <c r="N52" s="21">
        <v>0.97638839899999996</v>
      </c>
      <c r="O52" s="21">
        <v>0.97051869300000004</v>
      </c>
      <c r="P52" s="22">
        <v>-5.4401378E-2</v>
      </c>
    </row>
    <row r="53" spans="1:16">
      <c r="A53" s="15">
        <v>45735</v>
      </c>
      <c r="B53" s="16">
        <v>174.39321899999999</v>
      </c>
      <c r="C53" s="16">
        <v>540.98260500000004</v>
      </c>
      <c r="D53" s="16">
        <v>-31.058494379999999</v>
      </c>
      <c r="E53" s="16">
        <v>-28.363360530000001</v>
      </c>
      <c r="F53" s="16">
        <v>4.2451153450000003</v>
      </c>
      <c r="G53" s="17">
        <v>-0.63487882699999998</v>
      </c>
      <c r="H53" s="18">
        <v>0</v>
      </c>
      <c r="I53" s="18">
        <v>0</v>
      </c>
      <c r="J53" s="19">
        <v>0</v>
      </c>
      <c r="K53" s="20">
        <v>0</v>
      </c>
      <c r="L53" s="19">
        <v>0</v>
      </c>
      <c r="M53" s="19">
        <v>0</v>
      </c>
      <c r="N53" s="21">
        <v>0.97638839899999996</v>
      </c>
      <c r="O53" s="21">
        <v>0.97051869300000004</v>
      </c>
      <c r="P53" s="22">
        <v>-5.4401378E-2</v>
      </c>
    </row>
    <row r="54" spans="1:16">
      <c r="A54" s="15">
        <v>45736</v>
      </c>
      <c r="B54" s="16">
        <v>173.37603759999999</v>
      </c>
      <c r="C54" s="16">
        <v>546.16583249999996</v>
      </c>
      <c r="D54" s="16">
        <v>-33.215833879999998</v>
      </c>
      <c r="E54" s="16">
        <v>-29.167204909999999</v>
      </c>
      <c r="F54" s="16">
        <v>4.167453836</v>
      </c>
      <c r="G54" s="17">
        <v>-0.97148741800000005</v>
      </c>
      <c r="H54" s="18">
        <v>0</v>
      </c>
      <c r="I54" s="18">
        <v>0</v>
      </c>
      <c r="J54" s="19">
        <v>0</v>
      </c>
      <c r="K54" s="20">
        <v>0</v>
      </c>
      <c r="L54" s="19">
        <v>0</v>
      </c>
      <c r="M54" s="19">
        <v>0</v>
      </c>
      <c r="N54" s="21">
        <v>0.97638839899999996</v>
      </c>
      <c r="O54" s="21">
        <v>0.97051869300000004</v>
      </c>
      <c r="P54" s="22">
        <v>-5.4401378E-2</v>
      </c>
    </row>
    <row r="55" spans="1:16">
      <c r="A55" s="15">
        <v>45737</v>
      </c>
      <c r="B55" s="16">
        <v>171.7639618</v>
      </c>
      <c r="C55" s="16">
        <v>548.55364989999998</v>
      </c>
      <c r="D55" s="16">
        <v>-35.353159499999997</v>
      </c>
      <c r="E55" s="16">
        <v>-29.995263900000001</v>
      </c>
      <c r="F55" s="16">
        <v>4.3381404689999998</v>
      </c>
      <c r="G55" s="17">
        <v>-1.235067339</v>
      </c>
      <c r="H55" s="18">
        <v>0</v>
      </c>
      <c r="I55" s="18">
        <v>0</v>
      </c>
      <c r="J55" s="19">
        <v>0</v>
      </c>
      <c r="K55" s="20">
        <v>0</v>
      </c>
      <c r="L55" s="19">
        <v>0</v>
      </c>
      <c r="M55" s="19">
        <v>0</v>
      </c>
      <c r="N55" s="21">
        <v>0.97638839899999996</v>
      </c>
      <c r="O55" s="21">
        <v>0.97051869300000004</v>
      </c>
      <c r="P55" s="22">
        <v>-5.4401378E-2</v>
      </c>
    </row>
    <row r="56" spans="1:16">
      <c r="A56" s="15">
        <v>45740</v>
      </c>
      <c r="B56" s="16">
        <v>178.0108032</v>
      </c>
      <c r="C56" s="16">
        <v>563.07452390000003</v>
      </c>
      <c r="D56" s="16">
        <v>-32.300484650000001</v>
      </c>
      <c r="E56" s="16">
        <v>-30.522691340000002</v>
      </c>
      <c r="F56" s="16">
        <v>4.1865383400000002</v>
      </c>
      <c r="G56" s="17">
        <v>-0.42464517499999999</v>
      </c>
      <c r="H56" s="18">
        <v>0</v>
      </c>
      <c r="I56" s="18">
        <v>0</v>
      </c>
      <c r="J56" s="19">
        <v>0</v>
      </c>
      <c r="K56" s="20">
        <v>0</v>
      </c>
      <c r="L56" s="19">
        <v>0</v>
      </c>
      <c r="M56" s="19">
        <v>0</v>
      </c>
      <c r="N56" s="21">
        <v>0.97638839899999996</v>
      </c>
      <c r="O56" s="21">
        <v>0.97051869300000004</v>
      </c>
      <c r="P56" s="22">
        <v>-5.4401378E-2</v>
      </c>
    </row>
    <row r="57" spans="1:16">
      <c r="A57" s="15">
        <v>45741</v>
      </c>
      <c r="B57" s="16">
        <v>176.53303529999999</v>
      </c>
      <c r="C57" s="16">
        <v>568.74316409999994</v>
      </c>
      <c r="D57" s="16">
        <v>-35.025187240000001</v>
      </c>
      <c r="E57" s="16">
        <v>-31.5138794</v>
      </c>
      <c r="F57" s="16">
        <v>3.651189494</v>
      </c>
      <c r="G57" s="17">
        <v>-0.96168874299999996</v>
      </c>
      <c r="H57" s="18">
        <v>0</v>
      </c>
      <c r="I57" s="18">
        <v>0</v>
      </c>
      <c r="J57" s="19">
        <v>0</v>
      </c>
      <c r="K57" s="20">
        <v>0</v>
      </c>
      <c r="L57" s="19">
        <v>0</v>
      </c>
      <c r="M57" s="19">
        <v>0</v>
      </c>
      <c r="N57" s="21">
        <v>0.97638839899999996</v>
      </c>
      <c r="O57" s="21">
        <v>0.97051869300000004</v>
      </c>
      <c r="P57" s="22">
        <v>-5.4401378E-2</v>
      </c>
    </row>
    <row r="58" spans="1:16">
      <c r="A58" s="15">
        <v>45742</v>
      </c>
      <c r="B58" s="16">
        <v>177.03202820000001</v>
      </c>
      <c r="C58" s="16">
        <v>557.0759888</v>
      </c>
      <c r="D58" s="16">
        <v>-31.959757799999998</v>
      </c>
      <c r="E58" s="16">
        <v>-32.425739280000002</v>
      </c>
      <c r="F58" s="16">
        <v>1.5576416470000001</v>
      </c>
      <c r="G58" s="17">
        <v>0.299158335</v>
      </c>
      <c r="H58" s="18">
        <v>0</v>
      </c>
      <c r="I58" s="18">
        <v>0</v>
      </c>
      <c r="J58" s="19">
        <v>0</v>
      </c>
      <c r="K58" s="20">
        <v>0</v>
      </c>
      <c r="L58" s="19">
        <v>0</v>
      </c>
      <c r="M58" s="19">
        <v>0</v>
      </c>
      <c r="N58" s="21">
        <v>0.97638839899999996</v>
      </c>
      <c r="O58" s="21">
        <v>0.97051869300000004</v>
      </c>
      <c r="P58" s="22">
        <v>-5.4401378E-2</v>
      </c>
    </row>
    <row r="59" spans="1:16">
      <c r="A59" s="15">
        <v>45743</v>
      </c>
      <c r="B59" s="16">
        <v>173.45281979999999</v>
      </c>
      <c r="C59" s="16">
        <v>542.51611330000003</v>
      </c>
      <c r="D59" s="16">
        <v>-32.336220419999997</v>
      </c>
      <c r="E59" s="16">
        <v>-32.641384899999998</v>
      </c>
      <c r="F59" s="16">
        <v>1.3132522129999999</v>
      </c>
      <c r="G59" s="17">
        <v>0.232373095</v>
      </c>
      <c r="H59" s="18">
        <v>0</v>
      </c>
      <c r="I59" s="18">
        <v>0</v>
      </c>
      <c r="J59" s="19">
        <v>0</v>
      </c>
      <c r="K59" s="20">
        <v>0</v>
      </c>
      <c r="L59" s="19">
        <v>0</v>
      </c>
      <c r="M59" s="19">
        <v>0</v>
      </c>
      <c r="N59" s="21">
        <v>0.97638839899999996</v>
      </c>
      <c r="O59" s="21">
        <v>0.97051869300000004</v>
      </c>
      <c r="P59" s="22">
        <v>-5.4401378E-2</v>
      </c>
    </row>
    <row r="60" spans="1:16">
      <c r="A60" s="15">
        <v>45744</v>
      </c>
      <c r="B60" s="16">
        <v>169.20188899999999</v>
      </c>
      <c r="C60" s="16">
        <v>527.17993160000003</v>
      </c>
      <c r="D60" s="16">
        <v>-33.213640849999997</v>
      </c>
      <c r="E60" s="16">
        <v>-32.722852869999997</v>
      </c>
      <c r="F60" s="16">
        <v>1.3161397109999999</v>
      </c>
      <c r="G60" s="17">
        <v>-0.37289960599999999</v>
      </c>
      <c r="H60" s="18">
        <v>0</v>
      </c>
      <c r="I60" s="18">
        <v>0</v>
      </c>
      <c r="J60" s="19">
        <v>0</v>
      </c>
      <c r="K60" s="20">
        <v>0</v>
      </c>
      <c r="L60" s="19">
        <v>0</v>
      </c>
      <c r="M60" s="19">
        <v>0</v>
      </c>
      <c r="N60" s="21">
        <v>0.97638839899999996</v>
      </c>
      <c r="O60" s="21">
        <v>0.97051869300000004</v>
      </c>
      <c r="P60" s="22">
        <v>-5.4401378E-2</v>
      </c>
    </row>
    <row r="61" spans="1:16">
      <c r="A61" s="15">
        <v>45747</v>
      </c>
      <c r="B61" s="16">
        <v>172.43565369999999</v>
      </c>
      <c r="C61" s="16">
        <v>530.25683590000006</v>
      </c>
      <c r="D61" s="16">
        <v>-30.656704940000001</v>
      </c>
      <c r="E61" s="16">
        <v>-32.617259590000003</v>
      </c>
      <c r="F61" s="16">
        <v>1.431819647</v>
      </c>
      <c r="G61" s="17">
        <v>1.369274857</v>
      </c>
      <c r="H61" s="18">
        <v>0</v>
      </c>
      <c r="I61" s="18">
        <v>0</v>
      </c>
      <c r="J61" s="19">
        <v>0</v>
      </c>
      <c r="K61" s="20">
        <v>0</v>
      </c>
      <c r="L61" s="19">
        <v>0</v>
      </c>
      <c r="M61" s="19">
        <v>0</v>
      </c>
      <c r="N61" s="21">
        <v>0.97638839899999996</v>
      </c>
      <c r="O61" s="21">
        <v>0.97051869300000004</v>
      </c>
      <c r="P61" s="22">
        <v>-5.4401378E-2</v>
      </c>
    </row>
    <row r="62" spans="1:16">
      <c r="A62" s="15">
        <v>45748</v>
      </c>
      <c r="B62" s="16">
        <v>170.79478449999999</v>
      </c>
      <c r="C62" s="16">
        <v>532.35351560000004</v>
      </c>
      <c r="D62" s="16">
        <v>-32.758782150000002</v>
      </c>
      <c r="E62" s="16">
        <v>-32.616977030000001</v>
      </c>
      <c r="F62" s="16">
        <v>1.431788785</v>
      </c>
      <c r="G62" s="17">
        <v>-9.9040526000000004E-2</v>
      </c>
      <c r="H62" s="18">
        <v>0</v>
      </c>
      <c r="I62" s="18">
        <v>0</v>
      </c>
      <c r="J62" s="19">
        <v>0</v>
      </c>
      <c r="K62" s="20">
        <v>0</v>
      </c>
      <c r="L62" s="19">
        <v>0</v>
      </c>
      <c r="M62" s="19">
        <v>0</v>
      </c>
      <c r="N62" s="21">
        <v>0.97638839899999996</v>
      </c>
      <c r="O62" s="21">
        <v>0.97051869300000004</v>
      </c>
      <c r="P62" s="22">
        <v>-5.4401378E-2</v>
      </c>
    </row>
    <row r="63" spans="1:16">
      <c r="A63" s="15">
        <v>45749</v>
      </c>
      <c r="B63" s="16">
        <v>170.98670960000001</v>
      </c>
      <c r="C63" s="16">
        <v>546.57348630000001</v>
      </c>
      <c r="D63" s="16">
        <v>-35.694833770000002</v>
      </c>
      <c r="E63" s="16">
        <v>-32.970157810000003</v>
      </c>
      <c r="F63" s="16">
        <v>1.6287264130000001</v>
      </c>
      <c r="G63" s="17">
        <v>-1.672887435</v>
      </c>
      <c r="H63" s="18">
        <v>0</v>
      </c>
      <c r="I63" s="18">
        <v>0</v>
      </c>
      <c r="J63" s="19">
        <v>0</v>
      </c>
      <c r="K63" s="20">
        <v>0</v>
      </c>
      <c r="L63" s="19">
        <v>0</v>
      </c>
      <c r="M63" s="19">
        <v>0</v>
      </c>
      <c r="N63" s="21">
        <v>0.97638839899999996</v>
      </c>
      <c r="O63" s="21">
        <v>0.97051869300000004</v>
      </c>
      <c r="P63" s="22">
        <v>-5.4401378E-2</v>
      </c>
    </row>
    <row r="64" spans="1:16">
      <c r="A64" s="15">
        <v>45750</v>
      </c>
      <c r="B64" s="16">
        <v>157.5622406</v>
      </c>
      <c r="C64" s="16">
        <v>496.22586059999998</v>
      </c>
      <c r="D64" s="16">
        <v>-38.044301140000002</v>
      </c>
      <c r="E64" s="16">
        <v>-33.468116729999998</v>
      </c>
      <c r="F64" s="16">
        <v>2.1561574449999998</v>
      </c>
      <c r="G64" s="17">
        <v>-2.1223795239999999</v>
      </c>
      <c r="H64" s="18">
        <v>1</v>
      </c>
      <c r="I64" s="18">
        <v>0</v>
      </c>
      <c r="J64" s="19">
        <v>0</v>
      </c>
      <c r="K64" s="20">
        <v>0</v>
      </c>
      <c r="L64" s="19">
        <v>0</v>
      </c>
      <c r="M64" s="19">
        <v>0</v>
      </c>
      <c r="N64" s="21">
        <v>0.97638839899999996</v>
      </c>
      <c r="O64" s="21">
        <v>0.97051869300000004</v>
      </c>
      <c r="P64" s="22">
        <v>-5.4401378E-2</v>
      </c>
    </row>
    <row r="65" spans="1:16">
      <c r="A65" s="15">
        <v>45751</v>
      </c>
      <c r="B65" s="16">
        <v>145.27009580000001</v>
      </c>
      <c r="C65" s="16">
        <v>456.99212649999998</v>
      </c>
      <c r="D65" s="16">
        <v>-41.706174619999999</v>
      </c>
      <c r="E65" s="16">
        <v>-34.35542341</v>
      </c>
      <c r="F65" s="16">
        <v>3.0711372520000002</v>
      </c>
      <c r="G65" s="17">
        <v>-2.3934948519999999</v>
      </c>
      <c r="H65" s="18">
        <v>1</v>
      </c>
      <c r="I65" s="18">
        <v>1</v>
      </c>
      <c r="J65" s="19">
        <v>-1.3729414000000001E-2</v>
      </c>
      <c r="K65" s="20">
        <v>1</v>
      </c>
      <c r="L65" s="19">
        <v>1E-3</v>
      </c>
      <c r="M65" s="19">
        <v>-1.4729414E-2</v>
      </c>
      <c r="N65" s="21">
        <v>0.96298315800000001</v>
      </c>
      <c r="O65" s="21">
        <v>0.95622352099999997</v>
      </c>
      <c r="P65" s="22">
        <v>-6.8329492000000006E-2</v>
      </c>
    </row>
    <row r="66" spans="1:16">
      <c r="A66" s="15">
        <v>45754</v>
      </c>
      <c r="B66" s="16">
        <v>147.77456670000001</v>
      </c>
      <c r="C66" s="16">
        <v>451.8477173</v>
      </c>
      <c r="D66" s="16">
        <v>-38.07008459</v>
      </c>
      <c r="E66" s="16">
        <v>-34.759944310000002</v>
      </c>
      <c r="F66" s="16">
        <v>3.2233117039999999</v>
      </c>
      <c r="G66" s="17">
        <v>-1.026937692</v>
      </c>
      <c r="H66" s="18">
        <v>1</v>
      </c>
      <c r="I66" s="18">
        <v>1</v>
      </c>
      <c r="J66" s="19">
        <v>1.4793183E-2</v>
      </c>
      <c r="K66" s="20">
        <v>0</v>
      </c>
      <c r="L66" s="19">
        <v>0</v>
      </c>
      <c r="M66" s="19">
        <v>1.4793183E-2</v>
      </c>
      <c r="N66" s="21">
        <v>0.97722874500000001</v>
      </c>
      <c r="O66" s="21">
        <v>0.97036911100000001</v>
      </c>
      <c r="P66" s="22">
        <v>-5.4547118999999998E-2</v>
      </c>
    </row>
    <row r="67" spans="1:16">
      <c r="A67" s="15">
        <v>45755</v>
      </c>
      <c r="B67" s="16">
        <v>140.1075592</v>
      </c>
      <c r="C67" s="16">
        <v>448.65423579999998</v>
      </c>
      <c r="D67" s="16">
        <v>-45.034619739999997</v>
      </c>
      <c r="E67" s="16">
        <v>-35.56673266</v>
      </c>
      <c r="F67" s="16">
        <v>4.3868945679999998</v>
      </c>
      <c r="G67" s="17">
        <v>-2.1582207950000001</v>
      </c>
      <c r="H67" s="18">
        <v>1</v>
      </c>
      <c r="I67" s="18">
        <v>1</v>
      </c>
      <c r="J67" s="19">
        <v>-2.8177354000000002E-2</v>
      </c>
      <c r="K67" s="20">
        <v>0</v>
      </c>
      <c r="L67" s="19">
        <v>0</v>
      </c>
      <c r="M67" s="19">
        <v>-2.8177354000000002E-2</v>
      </c>
      <c r="N67" s="21">
        <v>0.949693024</v>
      </c>
      <c r="O67" s="21">
        <v>0.94302667600000001</v>
      </c>
      <c r="P67" s="22">
        <v>-8.1187480000000006E-2</v>
      </c>
    </row>
    <row r="68" spans="1:16">
      <c r="A68" s="15">
        <v>45756</v>
      </c>
      <c r="B68" s="16">
        <v>162.64799500000001</v>
      </c>
      <c r="C68" s="16">
        <v>501.70031740000002</v>
      </c>
      <c r="D68" s="16">
        <v>-34.162766740000002</v>
      </c>
      <c r="E68" s="16">
        <v>-35.721922829999997</v>
      </c>
      <c r="F68" s="16">
        <v>4.2927742650000003</v>
      </c>
      <c r="G68" s="17">
        <v>0.36320477000000001</v>
      </c>
      <c r="H68" s="18">
        <v>0</v>
      </c>
      <c r="I68" s="18">
        <v>1</v>
      </c>
      <c r="J68" s="19">
        <v>4.5527339E-2</v>
      </c>
      <c r="K68" s="20">
        <v>0</v>
      </c>
      <c r="L68" s="19">
        <v>0</v>
      </c>
      <c r="M68" s="19">
        <v>4.5527339E-2</v>
      </c>
      <c r="N68" s="21">
        <v>0.99293002100000005</v>
      </c>
      <c r="O68" s="21">
        <v>0.98596017199999997</v>
      </c>
      <c r="P68" s="22">
        <v>-3.9356389999999998E-2</v>
      </c>
    </row>
    <row r="69" spans="1:16">
      <c r="A69" s="15">
        <v>45757</v>
      </c>
      <c r="B69" s="16">
        <v>150.2694855</v>
      </c>
      <c r="C69" s="16">
        <v>475.4247742</v>
      </c>
      <c r="D69" s="16">
        <v>-40.761427070000003</v>
      </c>
      <c r="E69" s="16">
        <v>-36.199942819999997</v>
      </c>
      <c r="F69" s="16">
        <v>4.5214252080000001</v>
      </c>
      <c r="G69" s="17">
        <v>-1.008859827</v>
      </c>
      <c r="H69" s="18">
        <v>0</v>
      </c>
      <c r="I69" s="18">
        <v>0</v>
      </c>
      <c r="J69" s="19">
        <v>0</v>
      </c>
      <c r="K69" s="20">
        <v>1</v>
      </c>
      <c r="L69" s="19">
        <v>1E-3</v>
      </c>
      <c r="M69" s="19">
        <v>-1E-3</v>
      </c>
      <c r="N69" s="21">
        <v>0.99293002100000005</v>
      </c>
      <c r="O69" s="21">
        <v>0.98497421200000002</v>
      </c>
      <c r="P69" s="22">
        <v>-4.0317034000000002E-2</v>
      </c>
    </row>
    <row r="70" spans="1:16">
      <c r="A70" s="15">
        <v>45758</v>
      </c>
      <c r="B70" s="16">
        <v>141.63331600000001</v>
      </c>
      <c r="C70" s="16">
        <v>479.92864989999998</v>
      </c>
      <c r="D70" s="16">
        <v>-50.388317129999997</v>
      </c>
      <c r="E70" s="16">
        <v>-37.7356561</v>
      </c>
      <c r="F70" s="16">
        <v>5.8768108110000004</v>
      </c>
      <c r="G70" s="17">
        <v>-2.152980833</v>
      </c>
      <c r="H70" s="18">
        <v>1</v>
      </c>
      <c r="I70" s="18">
        <v>0</v>
      </c>
      <c r="J70" s="19">
        <v>0</v>
      </c>
      <c r="K70" s="20">
        <v>0</v>
      </c>
      <c r="L70" s="19">
        <v>0</v>
      </c>
      <c r="M70" s="19">
        <v>0</v>
      </c>
      <c r="N70" s="21">
        <v>0.99293002100000005</v>
      </c>
      <c r="O70" s="21">
        <v>0.98497421200000002</v>
      </c>
      <c r="P70" s="22">
        <v>-4.0317034000000002E-2</v>
      </c>
    </row>
    <row r="71" spans="1:16">
      <c r="A71" s="15">
        <v>45761</v>
      </c>
      <c r="B71" s="16">
        <v>144.8766785</v>
      </c>
      <c r="C71" s="16">
        <v>489.18862919999998</v>
      </c>
      <c r="D71" s="16">
        <v>-49.181878660000002</v>
      </c>
      <c r="E71" s="16">
        <v>-39.13946095</v>
      </c>
      <c r="F71" s="16">
        <v>6.4534701510000003</v>
      </c>
      <c r="G71" s="17">
        <v>-1.5561267780000001</v>
      </c>
      <c r="H71" s="18">
        <v>1</v>
      </c>
      <c r="I71" s="18">
        <v>1</v>
      </c>
      <c r="J71" s="19">
        <v>4.880344E-3</v>
      </c>
      <c r="K71" s="20">
        <v>1</v>
      </c>
      <c r="L71" s="19">
        <v>1E-3</v>
      </c>
      <c r="M71" s="19">
        <v>3.880344E-3</v>
      </c>
      <c r="N71" s="21">
        <v>0.99777586100000004</v>
      </c>
      <c r="O71" s="21">
        <v>0.98879625100000001</v>
      </c>
      <c r="P71" s="22">
        <v>-3.6593133E-2</v>
      </c>
    </row>
    <row r="72" spans="1:16">
      <c r="A72" s="15">
        <v>45762</v>
      </c>
      <c r="B72" s="16">
        <v>145.06857299999999</v>
      </c>
      <c r="C72" s="16">
        <v>492.98385619999999</v>
      </c>
      <c r="D72" s="16">
        <v>-49.824822820000001</v>
      </c>
      <c r="E72" s="16">
        <v>-40.523726109999998</v>
      </c>
      <c r="F72" s="16">
        <v>6.8369808650000001</v>
      </c>
      <c r="G72" s="17">
        <v>-1.360409937</v>
      </c>
      <c r="H72" s="18">
        <v>1</v>
      </c>
      <c r="I72" s="18">
        <v>1</v>
      </c>
      <c r="J72" s="19">
        <v>-2.5464770000000001E-3</v>
      </c>
      <c r="K72" s="20">
        <v>0</v>
      </c>
      <c r="L72" s="19">
        <v>0</v>
      </c>
      <c r="M72" s="19">
        <v>-2.5464770000000001E-3</v>
      </c>
      <c r="N72" s="21">
        <v>0.99523504900000004</v>
      </c>
      <c r="O72" s="21">
        <v>0.98627830500000002</v>
      </c>
      <c r="P72" s="22">
        <v>-3.9046426000000002E-2</v>
      </c>
    </row>
    <row r="73" spans="1:16">
      <c r="A73" s="15">
        <v>45763</v>
      </c>
      <c r="B73" s="16">
        <v>140.62576290000001</v>
      </c>
      <c r="C73" s="16">
        <v>484.40328979999998</v>
      </c>
      <c r="D73" s="16">
        <v>-52.380159820000003</v>
      </c>
      <c r="E73" s="16">
        <v>-42.334014019999998</v>
      </c>
      <c r="F73" s="16">
        <v>6.8628021490000002</v>
      </c>
      <c r="G73" s="17">
        <v>-1.4638547909999999</v>
      </c>
      <c r="H73" s="18">
        <v>1</v>
      </c>
      <c r="I73" s="18">
        <v>1</v>
      </c>
      <c r="J73" s="19">
        <v>-1.0079805000000001E-2</v>
      </c>
      <c r="K73" s="20">
        <v>0</v>
      </c>
      <c r="L73" s="19">
        <v>0</v>
      </c>
      <c r="M73" s="19">
        <v>-1.0079805000000001E-2</v>
      </c>
      <c r="N73" s="21">
        <v>0.98520327399999996</v>
      </c>
      <c r="O73" s="21">
        <v>0.976336812</v>
      </c>
      <c r="P73" s="22">
        <v>-4.8732651000000002E-2</v>
      </c>
    </row>
    <row r="74" spans="1:16">
      <c r="A74" s="15">
        <v>45764</v>
      </c>
      <c r="B74" s="16">
        <v>142.43934630000001</v>
      </c>
      <c r="C74" s="16">
        <v>494.5369263</v>
      </c>
      <c r="D74" s="16">
        <v>-52.795679389999997</v>
      </c>
      <c r="E74" s="16">
        <v>-44.003755460000001</v>
      </c>
      <c r="F74" s="16">
        <v>6.7580492469999998</v>
      </c>
      <c r="G74" s="17">
        <v>-1.300955884</v>
      </c>
      <c r="H74" s="18">
        <v>1</v>
      </c>
      <c r="I74" s="18">
        <v>1</v>
      </c>
      <c r="J74" s="19">
        <v>-1.6810379999999999E-3</v>
      </c>
      <c r="K74" s="20">
        <v>0</v>
      </c>
      <c r="L74" s="19">
        <v>0</v>
      </c>
      <c r="M74" s="19">
        <v>-1.6810379999999999E-3</v>
      </c>
      <c r="N74" s="21">
        <v>0.98354710899999997</v>
      </c>
      <c r="O74" s="21">
        <v>0.97469555200000002</v>
      </c>
      <c r="P74" s="22">
        <v>-5.0331767999999999E-2</v>
      </c>
    </row>
    <row r="75" spans="1:16">
      <c r="A75" s="15">
        <v>45768</v>
      </c>
      <c r="B75" s="16">
        <v>139.72375489999999</v>
      </c>
      <c r="C75" s="16">
        <v>486.64547729999998</v>
      </c>
      <c r="D75" s="16">
        <v>-53.775383400000003</v>
      </c>
      <c r="E75" s="16">
        <v>-45.510467929999997</v>
      </c>
      <c r="F75" s="16">
        <v>6.7526955510000004</v>
      </c>
      <c r="G75" s="17">
        <v>-1.2239431510000001</v>
      </c>
      <c r="H75" s="18">
        <v>1</v>
      </c>
      <c r="I75" s="18">
        <v>1</v>
      </c>
      <c r="J75" s="19">
        <v>-3.8997390000000002E-3</v>
      </c>
      <c r="K75" s="20">
        <v>0</v>
      </c>
      <c r="L75" s="19">
        <v>0</v>
      </c>
      <c r="M75" s="19">
        <v>-3.8997390000000002E-3</v>
      </c>
      <c r="N75" s="21">
        <v>0.97971153200000005</v>
      </c>
      <c r="O75" s="21">
        <v>0.97089449400000005</v>
      </c>
      <c r="P75" s="22">
        <v>-5.4035225999999999E-2</v>
      </c>
    </row>
    <row r="76" spans="1:16">
      <c r="A76" s="15">
        <v>45769</v>
      </c>
      <c r="B76" s="16">
        <v>140.8272552</v>
      </c>
      <c r="C76" s="16">
        <v>504.72872919999998</v>
      </c>
      <c r="D76" s="16">
        <v>-56.649668310000003</v>
      </c>
      <c r="E76" s="16">
        <v>-47.060915190000003</v>
      </c>
      <c r="F76" s="16">
        <v>7.013489388</v>
      </c>
      <c r="G76" s="17">
        <v>-1.367187229</v>
      </c>
      <c r="H76" s="18">
        <v>1</v>
      </c>
      <c r="I76" s="18">
        <v>1</v>
      </c>
      <c r="J76" s="19">
        <v>-1.1647556999999999E-2</v>
      </c>
      <c r="K76" s="20">
        <v>0</v>
      </c>
      <c r="L76" s="19">
        <v>0</v>
      </c>
      <c r="M76" s="19">
        <v>-1.1647556999999999E-2</v>
      </c>
      <c r="N76" s="21">
        <v>0.96830028700000004</v>
      </c>
      <c r="O76" s="21">
        <v>0.95958594600000002</v>
      </c>
      <c r="P76" s="22">
        <v>-6.5053403999999995E-2</v>
      </c>
    </row>
    <row r="77" spans="1:16">
      <c r="A77" s="15">
        <v>45770</v>
      </c>
      <c r="B77" s="16">
        <v>145.99935909999999</v>
      </c>
      <c r="C77" s="16">
        <v>513.77514650000001</v>
      </c>
      <c r="D77" s="16">
        <v>-53.467511010000003</v>
      </c>
      <c r="E77" s="16">
        <v>-48.041026559999999</v>
      </c>
      <c r="F77" s="16">
        <v>7.018955966</v>
      </c>
      <c r="G77" s="17">
        <v>-0.77311846399999995</v>
      </c>
      <c r="H77" s="18">
        <v>1</v>
      </c>
      <c r="I77" s="18">
        <v>1</v>
      </c>
      <c r="J77" s="19">
        <v>1.263499E-2</v>
      </c>
      <c r="K77" s="20">
        <v>0</v>
      </c>
      <c r="L77" s="19">
        <v>0</v>
      </c>
      <c r="M77" s="19">
        <v>1.263499E-2</v>
      </c>
      <c r="N77" s="21">
        <v>0.98053475099999998</v>
      </c>
      <c r="O77" s="21">
        <v>0.97171030400000002</v>
      </c>
      <c r="P77" s="22">
        <v>-5.3240362999999999E-2</v>
      </c>
    </row>
    <row r="78" spans="1:16">
      <c r="A78" s="15">
        <v>45771</v>
      </c>
      <c r="B78" s="16">
        <v>155.57592769999999</v>
      </c>
      <c r="C78" s="16">
        <v>529.36383060000003</v>
      </c>
      <c r="D78" s="16">
        <v>-47.319995890000001</v>
      </c>
      <c r="E78" s="16">
        <v>-48.811852500000001</v>
      </c>
      <c r="F78" s="16">
        <v>6.2949713059999999</v>
      </c>
      <c r="G78" s="17">
        <v>0.236991804</v>
      </c>
      <c r="H78" s="18">
        <v>0</v>
      </c>
      <c r="I78" s="18">
        <v>1</v>
      </c>
      <c r="J78" s="19">
        <v>2.3734221E-2</v>
      </c>
      <c r="K78" s="20">
        <v>0</v>
      </c>
      <c r="L78" s="19">
        <v>0</v>
      </c>
      <c r="M78" s="19">
        <v>2.3734221E-2</v>
      </c>
      <c r="N78" s="21">
        <v>1.0038069789999999</v>
      </c>
      <c r="O78" s="21">
        <v>0.994773091</v>
      </c>
      <c r="P78" s="22">
        <v>-3.0769761E-2</v>
      </c>
    </row>
    <row r="79" spans="1:16">
      <c r="A79" s="15">
        <v>45772</v>
      </c>
      <c r="B79" s="16">
        <v>156.2764282</v>
      </c>
      <c r="C79" s="16">
        <v>528.86877440000001</v>
      </c>
      <c r="D79" s="16">
        <v>-46.510597570000002</v>
      </c>
      <c r="E79" s="16">
        <v>-48.934850650000001</v>
      </c>
      <c r="F79" s="16">
        <v>6.2285270810000002</v>
      </c>
      <c r="G79" s="17">
        <v>0.38921771599999999</v>
      </c>
      <c r="H79" s="18">
        <v>0</v>
      </c>
      <c r="I79" s="18">
        <v>0</v>
      </c>
      <c r="J79" s="19">
        <v>0</v>
      </c>
      <c r="K79" s="20">
        <v>1</v>
      </c>
      <c r="L79" s="19">
        <v>1E-3</v>
      </c>
      <c r="M79" s="19">
        <v>-1E-3</v>
      </c>
      <c r="N79" s="21">
        <v>1.0038069789999999</v>
      </c>
      <c r="O79" s="21">
        <v>0.99377831800000005</v>
      </c>
      <c r="P79" s="22">
        <v>-3.1738991000000001E-2</v>
      </c>
    </row>
    <row r="80" spans="1:16">
      <c r="A80" s="15">
        <v>45775</v>
      </c>
      <c r="B80" s="16">
        <v>155.87339779999999</v>
      </c>
      <c r="C80" s="16">
        <v>530.36358640000003</v>
      </c>
      <c r="D80" s="16">
        <v>-47.242442779999998</v>
      </c>
      <c r="E80" s="16">
        <v>-50.024823650000002</v>
      </c>
      <c r="F80" s="16">
        <v>4.2333452620000003</v>
      </c>
      <c r="G80" s="17">
        <v>0.65725347300000003</v>
      </c>
      <c r="H80" s="18">
        <v>0</v>
      </c>
      <c r="I80" s="18">
        <v>0</v>
      </c>
      <c r="J80" s="19">
        <v>0</v>
      </c>
      <c r="K80" s="20">
        <v>0</v>
      </c>
      <c r="L80" s="19">
        <v>0</v>
      </c>
      <c r="M80" s="19">
        <v>0</v>
      </c>
      <c r="N80" s="21">
        <v>1.0038069789999999</v>
      </c>
      <c r="O80" s="21">
        <v>0.99377831800000005</v>
      </c>
      <c r="P80" s="22">
        <v>-3.1738991000000001E-2</v>
      </c>
    </row>
    <row r="81" spans="1:16">
      <c r="A81" s="15">
        <v>45776</v>
      </c>
      <c r="B81" s="16">
        <v>154.2709198</v>
      </c>
      <c r="C81" s="16">
        <v>532.80969240000002</v>
      </c>
      <c r="D81" s="16">
        <v>-49.38299241</v>
      </c>
      <c r="E81" s="16">
        <v>-50.743287430000002</v>
      </c>
      <c r="F81" s="16">
        <v>3.0975134010000001</v>
      </c>
      <c r="G81" s="17">
        <v>0.43915710800000002</v>
      </c>
      <c r="H81" s="18">
        <v>0</v>
      </c>
      <c r="I81" s="18">
        <v>0</v>
      </c>
      <c r="J81" s="19">
        <v>0</v>
      </c>
      <c r="K81" s="20">
        <v>0</v>
      </c>
      <c r="L81" s="19">
        <v>0</v>
      </c>
      <c r="M81" s="19">
        <v>0</v>
      </c>
      <c r="N81" s="21">
        <v>1.0038069789999999</v>
      </c>
      <c r="O81" s="21">
        <v>0.99377831800000005</v>
      </c>
      <c r="P81" s="22">
        <v>-3.1738991000000001E-2</v>
      </c>
    </row>
    <row r="82" spans="1:16">
      <c r="A82" s="15">
        <v>45777</v>
      </c>
      <c r="B82" s="16">
        <v>154.8902588</v>
      </c>
      <c r="C82" s="16">
        <v>531.47985840000001</v>
      </c>
      <c r="D82" s="16">
        <v>-48.471128929999999</v>
      </c>
      <c r="E82" s="16">
        <v>-50.583521750000003</v>
      </c>
      <c r="F82" s="16">
        <v>3.1661689119999998</v>
      </c>
      <c r="G82" s="17">
        <v>0.66717628799999995</v>
      </c>
      <c r="H82" s="18">
        <v>0</v>
      </c>
      <c r="I82" s="18">
        <v>0</v>
      </c>
      <c r="J82" s="19">
        <v>0</v>
      </c>
      <c r="K82" s="20">
        <v>0</v>
      </c>
      <c r="L82" s="19">
        <v>0</v>
      </c>
      <c r="M82" s="19">
        <v>0</v>
      </c>
      <c r="N82" s="21">
        <v>1.0038069789999999</v>
      </c>
      <c r="O82" s="21">
        <v>0.99377831800000005</v>
      </c>
      <c r="P82" s="22">
        <v>-3.1738991000000001E-2</v>
      </c>
    </row>
    <row r="83" spans="1:16">
      <c r="A83" s="15">
        <v>45778</v>
      </c>
      <c r="B83" s="16">
        <v>153.15797420000001</v>
      </c>
      <c r="C83" s="16">
        <v>537.57556150000005</v>
      </c>
      <c r="D83" s="16">
        <v>-51.544289450000001</v>
      </c>
      <c r="E83" s="16">
        <v>-50.780389309999997</v>
      </c>
      <c r="F83" s="16">
        <v>3.144465131</v>
      </c>
      <c r="G83" s="17">
        <v>-0.24293484200000001</v>
      </c>
      <c r="H83" s="18">
        <v>0</v>
      </c>
      <c r="I83" s="18">
        <v>0</v>
      </c>
      <c r="J83" s="19">
        <v>0</v>
      </c>
      <c r="K83" s="20">
        <v>0</v>
      </c>
      <c r="L83" s="19">
        <v>0</v>
      </c>
      <c r="M83" s="19">
        <v>0</v>
      </c>
      <c r="N83" s="21">
        <v>1.0038069789999999</v>
      </c>
      <c r="O83" s="21">
        <v>0.99377831800000005</v>
      </c>
      <c r="P83" s="22">
        <v>-3.1738991000000001E-2</v>
      </c>
    </row>
    <row r="84" spans="1:16">
      <c r="A84" s="15">
        <v>45779</v>
      </c>
      <c r="B84" s="16">
        <v>159.2064819</v>
      </c>
      <c r="C84" s="16">
        <v>549.48547359999998</v>
      </c>
      <c r="D84" s="16">
        <v>-48.115613260000003</v>
      </c>
      <c r="E84" s="16">
        <v>-50.63795519</v>
      </c>
      <c r="F84" s="16">
        <v>3.2292518819999998</v>
      </c>
      <c r="G84" s="17">
        <v>0.78109172400000004</v>
      </c>
      <c r="H84" s="18">
        <v>0</v>
      </c>
      <c r="I84" s="18">
        <v>0</v>
      </c>
      <c r="J84" s="19">
        <v>0</v>
      </c>
      <c r="K84" s="20">
        <v>0</v>
      </c>
      <c r="L84" s="19">
        <v>0</v>
      </c>
      <c r="M84" s="19">
        <v>0</v>
      </c>
      <c r="N84" s="21">
        <v>1.0038069789999999</v>
      </c>
      <c r="O84" s="21">
        <v>0.99377831800000005</v>
      </c>
      <c r="P84" s="22">
        <v>-3.1738991000000001E-2</v>
      </c>
    </row>
    <row r="85" spans="1:16">
      <c r="A85" s="15">
        <v>45782</v>
      </c>
      <c r="B85" s="16">
        <v>157.18386839999999</v>
      </c>
      <c r="C85" s="16">
        <v>543.13726810000003</v>
      </c>
      <c r="D85" s="16">
        <v>-48.741807680000001</v>
      </c>
      <c r="E85" s="16">
        <v>-50.334759169999998</v>
      </c>
      <c r="F85" s="16">
        <v>3.221599114</v>
      </c>
      <c r="G85" s="17">
        <v>0.49445987600000002</v>
      </c>
      <c r="H85" s="18">
        <v>0</v>
      </c>
      <c r="I85" s="18">
        <v>0</v>
      </c>
      <c r="J85" s="19">
        <v>0</v>
      </c>
      <c r="K85" s="20">
        <v>0</v>
      </c>
      <c r="L85" s="19">
        <v>0</v>
      </c>
      <c r="M85" s="19">
        <v>0</v>
      </c>
      <c r="N85" s="21">
        <v>1.0038069789999999</v>
      </c>
      <c r="O85" s="21">
        <v>0.99377831800000005</v>
      </c>
      <c r="P85" s="22">
        <v>-3.1738991000000001E-2</v>
      </c>
    </row>
    <row r="86" spans="1:16">
      <c r="A86" s="15">
        <v>45783</v>
      </c>
      <c r="B86" s="16">
        <v>155.8967438</v>
      </c>
      <c r="C86" s="16">
        <v>533.23675539999999</v>
      </c>
      <c r="D86" s="16">
        <v>-47.851109770000001</v>
      </c>
      <c r="E86" s="16">
        <v>-49.922711700000001</v>
      </c>
      <c r="F86" s="16">
        <v>3.194323062</v>
      </c>
      <c r="G86" s="17">
        <v>0.64852611800000004</v>
      </c>
      <c r="H86" s="18">
        <v>0</v>
      </c>
      <c r="I86" s="18">
        <v>0</v>
      </c>
      <c r="J86" s="19">
        <v>0</v>
      </c>
      <c r="K86" s="20">
        <v>0</v>
      </c>
      <c r="L86" s="19">
        <v>0</v>
      </c>
      <c r="M86" s="19">
        <v>0</v>
      </c>
      <c r="N86" s="21">
        <v>1.0038069789999999</v>
      </c>
      <c r="O86" s="21">
        <v>0.99377831800000005</v>
      </c>
      <c r="P86" s="22">
        <v>-3.1738991000000001E-2</v>
      </c>
    </row>
    <row r="87" spans="1:16">
      <c r="A87" s="15">
        <v>45784</v>
      </c>
      <c r="B87" s="16">
        <v>159.47744750000001</v>
      </c>
      <c r="C87" s="16">
        <v>535.72161870000002</v>
      </c>
      <c r="D87" s="16">
        <v>-44.817003110000002</v>
      </c>
      <c r="E87" s="16">
        <v>-49.176180010000003</v>
      </c>
      <c r="F87" s="16">
        <v>3.2582505679999998</v>
      </c>
      <c r="G87" s="17">
        <v>1.337888789</v>
      </c>
      <c r="H87" s="18">
        <v>0</v>
      </c>
      <c r="I87" s="18">
        <v>0</v>
      </c>
      <c r="J87" s="19">
        <v>0</v>
      </c>
      <c r="K87" s="20">
        <v>0</v>
      </c>
      <c r="L87" s="19">
        <v>0</v>
      </c>
      <c r="M87" s="19">
        <v>0</v>
      </c>
      <c r="N87" s="21">
        <v>1.0038069789999999</v>
      </c>
      <c r="O87" s="21">
        <v>0.99377831800000005</v>
      </c>
      <c r="P87" s="22">
        <v>-3.1738991000000001E-2</v>
      </c>
    </row>
    <row r="88" spans="1:16">
      <c r="A88" s="15">
        <v>45785</v>
      </c>
      <c r="B88" s="16">
        <v>160.30006409999999</v>
      </c>
      <c r="C88" s="16">
        <v>549.09722899999997</v>
      </c>
      <c r="D88" s="16">
        <v>-46.936628679999998</v>
      </c>
      <c r="E88" s="16">
        <v>-48.366760040000003</v>
      </c>
      <c r="F88" s="16">
        <v>2.2978013000000002</v>
      </c>
      <c r="G88" s="17">
        <v>0.62239122599999996</v>
      </c>
      <c r="H88" s="18">
        <v>0</v>
      </c>
      <c r="I88" s="18">
        <v>0</v>
      </c>
      <c r="J88" s="19">
        <v>0</v>
      </c>
      <c r="K88" s="20">
        <v>0</v>
      </c>
      <c r="L88" s="19">
        <v>0</v>
      </c>
      <c r="M88" s="19">
        <v>0</v>
      </c>
      <c r="N88" s="21">
        <v>1.0038069789999999</v>
      </c>
      <c r="O88" s="21">
        <v>0.99377831800000005</v>
      </c>
      <c r="P88" s="22">
        <v>-3.1738991000000001E-2</v>
      </c>
    </row>
    <row r="89" spans="1:16">
      <c r="A89" s="15">
        <v>45786</v>
      </c>
      <c r="B89" s="16">
        <v>166.71632389999999</v>
      </c>
      <c r="C89" s="16">
        <v>550.45605469999998</v>
      </c>
      <c r="D89" s="16">
        <v>-40.819270719999999</v>
      </c>
      <c r="E89" s="16">
        <v>-47.31274002</v>
      </c>
      <c r="F89" s="16">
        <v>2.6232220829999999</v>
      </c>
      <c r="G89" s="17">
        <v>2.4753791679999999</v>
      </c>
      <c r="H89" s="18">
        <v>-1</v>
      </c>
      <c r="I89" s="18">
        <v>0</v>
      </c>
      <c r="J89" s="19">
        <v>0</v>
      </c>
      <c r="K89" s="20">
        <v>0</v>
      </c>
      <c r="L89" s="19">
        <v>0</v>
      </c>
      <c r="M89" s="19">
        <v>0</v>
      </c>
      <c r="N89" s="21">
        <v>1.0038069789999999</v>
      </c>
      <c r="O89" s="21">
        <v>0.99377831800000005</v>
      </c>
      <c r="P89" s="22">
        <v>-3.1738991000000001E-2</v>
      </c>
    </row>
    <row r="90" spans="1:16">
      <c r="A90" s="15">
        <v>45789</v>
      </c>
      <c r="B90" s="16">
        <v>181.2424316</v>
      </c>
      <c r="C90" s="16">
        <v>573.98474120000003</v>
      </c>
      <c r="D90" s="16">
        <v>-31.46878418</v>
      </c>
      <c r="E90" s="16">
        <v>-45.991805710000001</v>
      </c>
      <c r="F90" s="16">
        <v>5.2724559539999998</v>
      </c>
      <c r="G90" s="17">
        <v>2.7545078909999998</v>
      </c>
      <c r="H90" s="18">
        <v>-1</v>
      </c>
      <c r="I90" s="18">
        <v>-1</v>
      </c>
      <c r="J90" s="19">
        <v>-3.2489470999999999E-2</v>
      </c>
      <c r="K90" s="20">
        <v>1</v>
      </c>
      <c r="L90" s="19">
        <v>1E-3</v>
      </c>
      <c r="M90" s="19">
        <v>-3.3489471E-2</v>
      </c>
      <c r="N90" s="21">
        <v>0.97119382200000004</v>
      </c>
      <c r="O90" s="21">
        <v>0.96049720800000005</v>
      </c>
      <c r="P90" s="22">
        <v>-6.4165539999999993E-2</v>
      </c>
    </row>
    <row r="91" spans="1:16">
      <c r="A91" s="15">
        <v>45790</v>
      </c>
      <c r="B91" s="16">
        <v>182.13276669999999</v>
      </c>
      <c r="C91" s="16">
        <v>586.08874509999998</v>
      </c>
      <c r="D91" s="16">
        <v>-33.240975110000001</v>
      </c>
      <c r="E91" s="16">
        <v>-44.886003840000001</v>
      </c>
      <c r="F91" s="16">
        <v>6.4203346870000004</v>
      </c>
      <c r="G91" s="17">
        <v>1.8137728479999999</v>
      </c>
      <c r="H91" s="18">
        <v>-1</v>
      </c>
      <c r="I91" s="18">
        <v>-1</v>
      </c>
      <c r="J91" s="19">
        <v>5.7631799999999997E-3</v>
      </c>
      <c r="K91" s="20">
        <v>0</v>
      </c>
      <c r="L91" s="19">
        <v>0</v>
      </c>
      <c r="M91" s="19">
        <v>5.7631799999999997E-3</v>
      </c>
      <c r="N91" s="21">
        <v>0.976790987</v>
      </c>
      <c r="O91" s="21">
        <v>0.96603272699999998</v>
      </c>
      <c r="P91" s="22">
        <v>-5.8772156999999998E-2</v>
      </c>
    </row>
    <row r="92" spans="1:16">
      <c r="A92" s="15">
        <v>45791</v>
      </c>
      <c r="B92" s="16">
        <v>181.3004761</v>
      </c>
      <c r="C92" s="16">
        <v>593.65002440000001</v>
      </c>
      <c r="D92" s="16">
        <v>-35.736525530000002</v>
      </c>
      <c r="E92" s="16">
        <v>-43.927177399999998</v>
      </c>
      <c r="F92" s="16">
        <v>6.8791889289999997</v>
      </c>
      <c r="G92" s="17">
        <v>1.1906420879999999</v>
      </c>
      <c r="H92" s="18">
        <v>-1</v>
      </c>
      <c r="I92" s="18">
        <v>-1</v>
      </c>
      <c r="J92" s="19">
        <v>8.0228560000000001E-3</v>
      </c>
      <c r="K92" s="20">
        <v>0</v>
      </c>
      <c r="L92" s="19">
        <v>0</v>
      </c>
      <c r="M92" s="19">
        <v>8.0228560000000001E-3</v>
      </c>
      <c r="N92" s="21">
        <v>0.984627641</v>
      </c>
      <c r="O92" s="21">
        <v>0.97378306800000003</v>
      </c>
      <c r="P92" s="22">
        <v>-5.1220821999999999E-2</v>
      </c>
    </row>
    <row r="93" spans="1:16">
      <c r="A93" s="15">
        <v>45792</v>
      </c>
      <c r="B93" s="16">
        <v>181.77470400000001</v>
      </c>
      <c r="C93" s="16">
        <v>597.82385250000004</v>
      </c>
      <c r="D93" s="16">
        <v>-36.18041745</v>
      </c>
      <c r="E93" s="16">
        <v>-42.826962819999999</v>
      </c>
      <c r="F93" s="16">
        <v>6.9822915649999997</v>
      </c>
      <c r="G93" s="17">
        <v>0.95191461300000002</v>
      </c>
      <c r="H93" s="18">
        <v>-1</v>
      </c>
      <c r="I93" s="18">
        <v>-1</v>
      </c>
      <c r="J93" s="19">
        <v>1.42325E-3</v>
      </c>
      <c r="K93" s="20">
        <v>0</v>
      </c>
      <c r="L93" s="19">
        <v>0</v>
      </c>
      <c r="M93" s="19">
        <v>1.42325E-3</v>
      </c>
      <c r="N93" s="21">
        <v>0.98602901200000004</v>
      </c>
      <c r="O93" s="21">
        <v>0.97516900500000003</v>
      </c>
      <c r="P93" s="22">
        <v>-4.9870471999999999E-2</v>
      </c>
    </row>
    <row r="94" spans="1:16">
      <c r="A94" s="15">
        <v>45793</v>
      </c>
      <c r="B94" s="16">
        <v>182.4230804</v>
      </c>
      <c r="C94" s="16">
        <v>600.86199950000002</v>
      </c>
      <c r="D94" s="16">
        <v>-36.200344250000001</v>
      </c>
      <c r="E94" s="16">
        <v>-41.804397430000002</v>
      </c>
      <c r="F94" s="16">
        <v>6.979086509</v>
      </c>
      <c r="G94" s="17">
        <v>0.80297803700000003</v>
      </c>
      <c r="H94" s="18">
        <v>-1</v>
      </c>
      <c r="I94" s="18">
        <v>-1</v>
      </c>
      <c r="J94" s="19">
        <v>6.3600000000000001E-5</v>
      </c>
      <c r="K94" s="20">
        <v>0</v>
      </c>
      <c r="L94" s="19">
        <v>0</v>
      </c>
      <c r="M94" s="19">
        <v>6.3600000000000001E-5</v>
      </c>
      <c r="N94" s="21">
        <v>0.98609173100000003</v>
      </c>
      <c r="O94" s="21">
        <v>0.97523103300000002</v>
      </c>
      <c r="P94" s="22">
        <v>-4.9810036000000002E-2</v>
      </c>
    </row>
    <row r="95" spans="1:16">
      <c r="A95" s="15">
        <v>45796</v>
      </c>
      <c r="B95" s="16">
        <v>182.26823429999999</v>
      </c>
      <c r="C95" s="16">
        <v>594.32946779999997</v>
      </c>
      <c r="D95" s="16">
        <v>-34.918224969999997</v>
      </c>
      <c r="E95" s="16">
        <v>-40.418892059999997</v>
      </c>
      <c r="F95" s="16">
        <v>6.5038625339999996</v>
      </c>
      <c r="G95" s="17">
        <v>0.845753898</v>
      </c>
      <c r="H95" s="18">
        <v>-1</v>
      </c>
      <c r="I95" s="18">
        <v>-1</v>
      </c>
      <c r="J95" s="19">
        <v>-4.0754579999999997E-3</v>
      </c>
      <c r="K95" s="20">
        <v>0</v>
      </c>
      <c r="L95" s="19">
        <v>0</v>
      </c>
      <c r="M95" s="19">
        <v>-4.0754579999999997E-3</v>
      </c>
      <c r="N95" s="21">
        <v>0.98207295500000003</v>
      </c>
      <c r="O95" s="21">
        <v>0.97125651999999996</v>
      </c>
      <c r="P95" s="22">
        <v>-5.3682496000000003E-2</v>
      </c>
    </row>
    <row r="96" spans="1:16">
      <c r="A96" s="15">
        <v>45797</v>
      </c>
      <c r="B96" s="16">
        <v>182.6263275</v>
      </c>
      <c r="C96" s="16">
        <v>588.71923830000003</v>
      </c>
      <c r="D96" s="16">
        <v>-33.326045690000001</v>
      </c>
      <c r="E96" s="16">
        <v>-39.18642809</v>
      </c>
      <c r="F96" s="16">
        <v>6.3112010779999999</v>
      </c>
      <c r="G96" s="17">
        <v>0.928568481</v>
      </c>
      <c r="H96" s="18">
        <v>-1</v>
      </c>
      <c r="I96" s="18">
        <v>-1</v>
      </c>
      <c r="J96" s="19">
        <v>-5.0867810000000003E-3</v>
      </c>
      <c r="K96" s="20">
        <v>0</v>
      </c>
      <c r="L96" s="19">
        <v>0</v>
      </c>
      <c r="M96" s="19">
        <v>-5.0867810000000003E-3</v>
      </c>
      <c r="N96" s="21">
        <v>0.97707736499999998</v>
      </c>
      <c r="O96" s="21">
        <v>0.96631595000000003</v>
      </c>
      <c r="P96" s="22">
        <v>-5.8496206000000002E-2</v>
      </c>
    </row>
    <row r="97" spans="1:16">
      <c r="A97" s="15">
        <v>45798</v>
      </c>
      <c r="B97" s="16">
        <v>179.44236760000001</v>
      </c>
      <c r="C97" s="16">
        <v>576.04254149999997</v>
      </c>
      <c r="D97" s="16">
        <v>-33.721504009999997</v>
      </c>
      <c r="E97" s="16">
        <v>-37.934736119999997</v>
      </c>
      <c r="F97" s="16">
        <v>5.7040908159999999</v>
      </c>
      <c r="G97" s="17">
        <v>0.73863342099999996</v>
      </c>
      <c r="H97" s="18">
        <v>-1</v>
      </c>
      <c r="I97" s="18">
        <v>-1</v>
      </c>
      <c r="J97" s="19">
        <v>1.266978E-3</v>
      </c>
      <c r="K97" s="20">
        <v>0</v>
      </c>
      <c r="L97" s="19">
        <v>0</v>
      </c>
      <c r="M97" s="19">
        <v>1.266978E-3</v>
      </c>
      <c r="N97" s="21">
        <v>0.9783153</v>
      </c>
      <c r="O97" s="21">
        <v>0.96754025099999996</v>
      </c>
      <c r="P97" s="22">
        <v>-5.7303342E-2</v>
      </c>
    </row>
    <row r="98" spans="1:16">
      <c r="A98" s="15">
        <v>45799</v>
      </c>
      <c r="B98" s="16">
        <v>174.40032959999999</v>
      </c>
      <c r="C98" s="16">
        <v>580.67248540000003</v>
      </c>
      <c r="D98" s="16">
        <v>-39.781993880000002</v>
      </c>
      <c r="E98" s="16">
        <v>-37.262309799999997</v>
      </c>
      <c r="F98" s="16">
        <v>4.838812602</v>
      </c>
      <c r="G98" s="17">
        <v>-0.52072363399999999</v>
      </c>
      <c r="H98" s="18">
        <v>-1</v>
      </c>
      <c r="I98" s="18">
        <v>-1</v>
      </c>
      <c r="J98" s="19">
        <v>1.9795506000000001E-2</v>
      </c>
      <c r="K98" s="20">
        <v>0</v>
      </c>
      <c r="L98" s="19">
        <v>0</v>
      </c>
      <c r="M98" s="19">
        <v>1.9795506000000001E-2</v>
      </c>
      <c r="N98" s="21">
        <v>0.99768154600000003</v>
      </c>
      <c r="O98" s="21">
        <v>0.98669320000000005</v>
      </c>
      <c r="P98" s="22">
        <v>-3.8642185000000003E-2</v>
      </c>
    </row>
    <row r="99" spans="1:16">
      <c r="A99" s="15">
        <v>45800</v>
      </c>
      <c r="B99" s="16">
        <v>170.61639400000001</v>
      </c>
      <c r="C99" s="16">
        <v>580.97332759999995</v>
      </c>
      <c r="D99" s="16">
        <v>-43.63210591</v>
      </c>
      <c r="E99" s="16">
        <v>-37.163568359999999</v>
      </c>
      <c r="F99" s="16">
        <v>4.6801232930000003</v>
      </c>
      <c r="G99" s="17">
        <v>-1.382129731</v>
      </c>
      <c r="H99" s="18">
        <v>-1</v>
      </c>
      <c r="I99" s="18">
        <v>-1</v>
      </c>
      <c r="J99" s="19">
        <v>1.2743177E-2</v>
      </c>
      <c r="K99" s="20">
        <v>0</v>
      </c>
      <c r="L99" s="19">
        <v>0</v>
      </c>
      <c r="M99" s="19">
        <v>1.2743177E-2</v>
      </c>
      <c r="N99" s="21">
        <v>1.010395178</v>
      </c>
      <c r="O99" s="21">
        <v>0.99926680599999995</v>
      </c>
      <c r="P99" s="22">
        <v>-2.6391431999999999E-2</v>
      </c>
    </row>
    <row r="100" spans="1:16">
      <c r="A100" s="15">
        <v>45804</v>
      </c>
      <c r="B100" s="16">
        <v>177.3326721</v>
      </c>
      <c r="C100" s="16">
        <v>597.65875240000003</v>
      </c>
      <c r="D100" s="16">
        <v>-40.586132130000003</v>
      </c>
      <c r="E100" s="16">
        <v>-36.634360319999999</v>
      </c>
      <c r="F100" s="16">
        <v>3.7389789009999999</v>
      </c>
      <c r="G100" s="17">
        <v>-1.056912037</v>
      </c>
      <c r="H100" s="18">
        <v>-1</v>
      </c>
      <c r="I100" s="18">
        <v>-1</v>
      </c>
      <c r="J100" s="19">
        <v>-1.0207225E-2</v>
      </c>
      <c r="K100" s="20">
        <v>0</v>
      </c>
      <c r="L100" s="19">
        <v>0</v>
      </c>
      <c r="M100" s="19">
        <v>-1.0207225E-2</v>
      </c>
      <c r="N100" s="21">
        <v>1.0000818469999999</v>
      </c>
      <c r="O100" s="21">
        <v>0.989067064</v>
      </c>
      <c r="P100" s="22">
        <v>-3.6329274000000002E-2</v>
      </c>
    </row>
    <row r="101" spans="1:16">
      <c r="A101" s="15">
        <v>45805</v>
      </c>
      <c r="B101" s="16">
        <v>178.2133331</v>
      </c>
      <c r="C101" s="16">
        <v>590.58276369999999</v>
      </c>
      <c r="D101" s="16">
        <v>-38.148961030000002</v>
      </c>
      <c r="E101" s="16">
        <v>-36.411834509999998</v>
      </c>
      <c r="F101" s="16">
        <v>3.5415189709999999</v>
      </c>
      <c r="G101" s="17">
        <v>-0.49050323800000001</v>
      </c>
      <c r="H101" s="18">
        <v>0</v>
      </c>
      <c r="I101" s="18">
        <v>-1</v>
      </c>
      <c r="J101" s="19">
        <v>-7.8923910000000003E-3</v>
      </c>
      <c r="K101" s="20">
        <v>0</v>
      </c>
      <c r="L101" s="19">
        <v>0</v>
      </c>
      <c r="M101" s="19">
        <v>-7.8923910000000003E-3</v>
      </c>
      <c r="N101" s="21">
        <v>0.99218881000000003</v>
      </c>
      <c r="O101" s="21">
        <v>0.98126095999999996</v>
      </c>
      <c r="P101" s="22">
        <v>-4.3934940999999998E-2</v>
      </c>
    </row>
    <row r="102" spans="1:16">
      <c r="A102" s="15">
        <v>45806</v>
      </c>
      <c r="B102" s="16">
        <v>179.02626040000001</v>
      </c>
      <c r="C102" s="16">
        <v>587.10791019999999</v>
      </c>
      <c r="D102" s="16">
        <v>-36.57166788</v>
      </c>
      <c r="E102" s="16">
        <v>-36.837074819999998</v>
      </c>
      <c r="F102" s="16">
        <v>3.182162946</v>
      </c>
      <c r="G102" s="17">
        <v>8.3404570999999997E-2</v>
      </c>
      <c r="H102" s="18">
        <v>0</v>
      </c>
      <c r="I102" s="18">
        <v>0</v>
      </c>
      <c r="J102" s="19">
        <v>0</v>
      </c>
      <c r="K102" s="20">
        <v>1</v>
      </c>
      <c r="L102" s="19">
        <v>1E-3</v>
      </c>
      <c r="M102" s="19">
        <v>-1E-3</v>
      </c>
      <c r="N102" s="21">
        <v>0.99218881000000003</v>
      </c>
      <c r="O102" s="21">
        <v>0.980279699</v>
      </c>
      <c r="P102" s="22">
        <v>-4.4891005999999997E-2</v>
      </c>
    </row>
    <row r="103" spans="1:16">
      <c r="A103" s="15">
        <v>45807</v>
      </c>
      <c r="B103" s="16">
        <v>176.95523069999999</v>
      </c>
      <c r="C103" s="16">
        <v>585.73242189999996</v>
      </c>
      <c r="D103" s="16">
        <v>-38.340130449999997</v>
      </c>
      <c r="E103" s="16">
        <v>-37.262004429999998</v>
      </c>
      <c r="F103" s="16">
        <v>2.9931472050000001</v>
      </c>
      <c r="G103" s="17">
        <v>-0.36019812800000001</v>
      </c>
      <c r="H103" s="18">
        <v>0</v>
      </c>
      <c r="I103" s="18">
        <v>0</v>
      </c>
      <c r="J103" s="19">
        <v>0</v>
      </c>
      <c r="K103" s="20">
        <v>0</v>
      </c>
      <c r="L103" s="19">
        <v>0</v>
      </c>
      <c r="M103" s="19">
        <v>0</v>
      </c>
      <c r="N103" s="21">
        <v>0.99218881000000003</v>
      </c>
      <c r="O103" s="21">
        <v>0.980279699</v>
      </c>
      <c r="P103" s="22">
        <v>-4.4891005999999997E-2</v>
      </c>
    </row>
    <row r="104" spans="1:16">
      <c r="A104" s="15">
        <v>45810</v>
      </c>
      <c r="B104" s="16">
        <v>178.27137759999999</v>
      </c>
      <c r="C104" s="16">
        <v>584.04479979999996</v>
      </c>
      <c r="D104" s="16">
        <v>-36.652756220000001</v>
      </c>
      <c r="E104" s="16">
        <v>-37.338356990000001</v>
      </c>
      <c r="F104" s="16">
        <v>2.9622223390000002</v>
      </c>
      <c r="G104" s="17">
        <v>0.23144811200000001</v>
      </c>
      <c r="H104" s="18">
        <v>0</v>
      </c>
      <c r="I104" s="18">
        <v>0</v>
      </c>
      <c r="J104" s="19">
        <v>0</v>
      </c>
      <c r="K104" s="20">
        <v>0</v>
      </c>
      <c r="L104" s="19">
        <v>0</v>
      </c>
      <c r="M104" s="19">
        <v>0</v>
      </c>
      <c r="N104" s="21">
        <v>0.99218881000000003</v>
      </c>
      <c r="O104" s="21">
        <v>0.980279699</v>
      </c>
      <c r="P104" s="22">
        <v>-4.4891005999999997E-2</v>
      </c>
    </row>
    <row r="105" spans="1:16">
      <c r="A105" s="15">
        <v>45811</v>
      </c>
      <c r="B105" s="16">
        <v>182.01663210000001</v>
      </c>
      <c r="C105" s="16">
        <v>589.02954099999999</v>
      </c>
      <c r="D105" s="16">
        <v>-34.003998629999998</v>
      </c>
      <c r="E105" s="16">
        <v>-37.156988749999996</v>
      </c>
      <c r="F105" s="16">
        <v>3.1028544259999999</v>
      </c>
      <c r="G105" s="17">
        <v>1.0161579270000001</v>
      </c>
      <c r="H105" s="18">
        <v>0</v>
      </c>
      <c r="I105" s="18">
        <v>0</v>
      </c>
      <c r="J105" s="19">
        <v>0</v>
      </c>
      <c r="K105" s="20">
        <v>0</v>
      </c>
      <c r="L105" s="19">
        <v>0</v>
      </c>
      <c r="M105" s="19">
        <v>0</v>
      </c>
      <c r="N105" s="21">
        <v>0.99218881000000003</v>
      </c>
      <c r="O105" s="21">
        <v>0.980279699</v>
      </c>
      <c r="P105" s="22">
        <v>-4.4891005999999997E-2</v>
      </c>
    </row>
    <row r="106" spans="1:16">
      <c r="A106" s="15">
        <v>45812</v>
      </c>
      <c r="B106" s="16">
        <v>184.5715332</v>
      </c>
      <c r="C106" s="16">
        <v>584.52282709999997</v>
      </c>
      <c r="D106" s="16">
        <v>-30.457752580000001</v>
      </c>
      <c r="E106" s="16">
        <v>-36.678439449999999</v>
      </c>
      <c r="F106" s="16">
        <v>3.6571380370000002</v>
      </c>
      <c r="G106" s="17">
        <v>1.7009713070000001</v>
      </c>
      <c r="H106" s="18">
        <v>0</v>
      </c>
      <c r="I106" s="18">
        <v>0</v>
      </c>
      <c r="J106" s="19">
        <v>0</v>
      </c>
      <c r="K106" s="20">
        <v>0</v>
      </c>
      <c r="L106" s="19">
        <v>0</v>
      </c>
      <c r="M106" s="19">
        <v>0</v>
      </c>
      <c r="N106" s="21">
        <v>0.99218881000000003</v>
      </c>
      <c r="O106" s="21">
        <v>0.980279699</v>
      </c>
      <c r="P106" s="22">
        <v>-4.4891005999999997E-2</v>
      </c>
    </row>
    <row r="107" spans="1:16">
      <c r="A107" s="15">
        <v>45813</v>
      </c>
      <c r="B107" s="16">
        <v>184.348938</v>
      </c>
      <c r="C107" s="16">
        <v>591.02929689999996</v>
      </c>
      <c r="D107" s="16">
        <v>-32.11158039</v>
      </c>
      <c r="E107" s="16">
        <v>-36.444552399999999</v>
      </c>
      <c r="F107" s="16">
        <v>3.863849396</v>
      </c>
      <c r="G107" s="17">
        <v>1.121413277</v>
      </c>
      <c r="H107" s="18">
        <v>0</v>
      </c>
      <c r="I107" s="18">
        <v>0</v>
      </c>
      <c r="J107" s="19">
        <v>0</v>
      </c>
      <c r="K107" s="20">
        <v>0</v>
      </c>
      <c r="L107" s="19">
        <v>0</v>
      </c>
      <c r="M107" s="19">
        <v>0</v>
      </c>
      <c r="N107" s="21">
        <v>0.99218881000000003</v>
      </c>
      <c r="O107" s="21">
        <v>0.980279699</v>
      </c>
      <c r="P107" s="22">
        <v>-4.4891005999999997E-2</v>
      </c>
    </row>
    <row r="108" spans="1:16">
      <c r="A108" s="15">
        <v>45814</v>
      </c>
      <c r="B108" s="16">
        <v>186.2167053</v>
      </c>
      <c r="C108" s="16">
        <v>598.95037839999998</v>
      </c>
      <c r="D108" s="16">
        <v>-31.986218770000001</v>
      </c>
      <c r="E108" s="16">
        <v>-36.332900160000001</v>
      </c>
      <c r="F108" s="16">
        <v>3.9797751610000001</v>
      </c>
      <c r="G108" s="17">
        <v>1.092192702</v>
      </c>
      <c r="H108" s="18">
        <v>0</v>
      </c>
      <c r="I108" s="18">
        <v>0</v>
      </c>
      <c r="J108" s="19">
        <v>0</v>
      </c>
      <c r="K108" s="20">
        <v>0</v>
      </c>
      <c r="L108" s="19">
        <v>0</v>
      </c>
      <c r="M108" s="19">
        <v>0</v>
      </c>
      <c r="N108" s="21">
        <v>0.99218881000000003</v>
      </c>
      <c r="O108" s="21">
        <v>0.980279699</v>
      </c>
      <c r="P108" s="22">
        <v>-4.4891005999999997E-2</v>
      </c>
    </row>
    <row r="109" spans="1:16">
      <c r="A109" s="15">
        <v>45817</v>
      </c>
      <c r="B109" s="16">
        <v>192.78782649999999</v>
      </c>
      <c r="C109" s="16">
        <v>598.48205570000005</v>
      </c>
      <c r="D109" s="16">
        <v>-25.31208028</v>
      </c>
      <c r="E109" s="16">
        <v>-35.632114850000001</v>
      </c>
      <c r="F109" s="16">
        <v>5.0719423749999999</v>
      </c>
      <c r="G109" s="17">
        <v>2.0347302479999998</v>
      </c>
      <c r="H109" s="18">
        <v>-1</v>
      </c>
      <c r="I109" s="18">
        <v>0</v>
      </c>
      <c r="J109" s="19">
        <v>0</v>
      </c>
      <c r="K109" s="20">
        <v>0</v>
      </c>
      <c r="L109" s="19">
        <v>0</v>
      </c>
      <c r="M109" s="19">
        <v>0</v>
      </c>
      <c r="N109" s="21">
        <v>0.99218881000000003</v>
      </c>
      <c r="O109" s="21">
        <v>0.980279699</v>
      </c>
      <c r="P109" s="22">
        <v>-4.4891005999999997E-2</v>
      </c>
    </row>
    <row r="110" spans="1:16">
      <c r="A110" s="15">
        <v>45818</v>
      </c>
      <c r="B110" s="16">
        <v>195.7685242</v>
      </c>
      <c r="C110" s="16">
        <v>599.7990112</v>
      </c>
      <c r="D110" s="16">
        <v>-22.62107426</v>
      </c>
      <c r="E110" s="16">
        <v>-34.202038209999998</v>
      </c>
      <c r="F110" s="16">
        <v>6.1088225679999999</v>
      </c>
      <c r="G110" s="17">
        <v>1.8957767750000001</v>
      </c>
      <c r="H110" s="18">
        <v>-1</v>
      </c>
      <c r="I110" s="18">
        <v>-1</v>
      </c>
      <c r="J110" s="19">
        <v>-8.294404E-3</v>
      </c>
      <c r="K110" s="20">
        <v>1</v>
      </c>
      <c r="L110" s="19">
        <v>1E-3</v>
      </c>
      <c r="M110" s="19">
        <v>-9.2944039999999992E-3</v>
      </c>
      <c r="N110" s="21">
        <v>0.98395919499999995</v>
      </c>
      <c r="O110" s="21">
        <v>0.97116858299999997</v>
      </c>
      <c r="P110" s="22">
        <v>-5.3768175000000001E-2</v>
      </c>
    </row>
    <row r="111" spans="1:16">
      <c r="A111" s="15">
        <v>45819</v>
      </c>
      <c r="B111" s="16">
        <v>193.25234990000001</v>
      </c>
      <c r="C111" s="16">
        <v>608.87109380000004</v>
      </c>
      <c r="D111" s="16">
        <v>-27.132840770000001</v>
      </c>
      <c r="E111" s="16">
        <v>-32.827099449999999</v>
      </c>
      <c r="F111" s="16">
        <v>5.6315405719999996</v>
      </c>
      <c r="G111" s="17">
        <v>1.011136936</v>
      </c>
      <c r="H111" s="18">
        <v>-1</v>
      </c>
      <c r="I111" s="18">
        <v>-1</v>
      </c>
      <c r="J111" s="19">
        <v>1.3767695999999999E-2</v>
      </c>
      <c r="K111" s="20">
        <v>0</v>
      </c>
      <c r="L111" s="19">
        <v>0</v>
      </c>
      <c r="M111" s="19">
        <v>1.3767695999999999E-2</v>
      </c>
      <c r="N111" s="21">
        <v>0.99750604600000004</v>
      </c>
      <c r="O111" s="21">
        <v>0.98453933699999996</v>
      </c>
      <c r="P111" s="22">
        <v>-4.0740743000000003E-2</v>
      </c>
    </row>
    <row r="112" spans="1:16">
      <c r="A112" s="15">
        <v>45820</v>
      </c>
      <c r="B112" s="16">
        <v>193.2233124</v>
      </c>
      <c r="C112" s="16">
        <v>609.78802489999998</v>
      </c>
      <c r="D112" s="16">
        <v>-27.363576219999999</v>
      </c>
      <c r="E112" s="16">
        <v>-31.725219790000001</v>
      </c>
      <c r="F112" s="16">
        <v>5.2564641940000003</v>
      </c>
      <c r="G112" s="17">
        <v>0.82976757999999995</v>
      </c>
      <c r="H112" s="18">
        <v>-1</v>
      </c>
      <c r="I112" s="18">
        <v>-1</v>
      </c>
      <c r="J112" s="19">
        <v>7.0521199999999998E-4</v>
      </c>
      <c r="K112" s="20">
        <v>0</v>
      </c>
      <c r="L112" s="19">
        <v>0</v>
      </c>
      <c r="M112" s="19">
        <v>7.0521199999999998E-4</v>
      </c>
      <c r="N112" s="21">
        <v>0.998209499</v>
      </c>
      <c r="O112" s="21">
        <v>0.98523364499999999</v>
      </c>
      <c r="P112" s="22">
        <v>-4.0064262000000003E-2</v>
      </c>
    </row>
    <row r="113" spans="1:16">
      <c r="A113" s="15">
        <v>45821</v>
      </c>
      <c r="B113" s="16">
        <v>188.71354679999999</v>
      </c>
      <c r="C113" s="16">
        <v>598.50158690000001</v>
      </c>
      <c r="D113" s="16">
        <v>-29.390656369999999</v>
      </c>
      <c r="E113" s="16">
        <v>-30.995361070000001</v>
      </c>
      <c r="F113" s="16">
        <v>4.8778533260000003</v>
      </c>
      <c r="G113" s="17">
        <v>0.32897764499999999</v>
      </c>
      <c r="H113" s="18">
        <v>0</v>
      </c>
      <c r="I113" s="18">
        <v>-1</v>
      </c>
      <c r="J113" s="19">
        <v>6.1922269999999998E-3</v>
      </c>
      <c r="K113" s="20">
        <v>0</v>
      </c>
      <c r="L113" s="19">
        <v>0</v>
      </c>
      <c r="M113" s="19">
        <v>6.1922269999999998E-3</v>
      </c>
      <c r="N113" s="21">
        <v>1.0043906389999999</v>
      </c>
      <c r="O113" s="21">
        <v>0.99133443600000004</v>
      </c>
      <c r="P113" s="22">
        <v>-3.4120121000000003E-2</v>
      </c>
    </row>
    <row r="114" spans="1:16">
      <c r="A114" s="15">
        <v>45824</v>
      </c>
      <c r="B114" s="16">
        <v>192.79750060000001</v>
      </c>
      <c r="C114" s="16">
        <v>612.4608154</v>
      </c>
      <c r="D114" s="16">
        <v>-28.377323539999999</v>
      </c>
      <c r="E114" s="16">
        <v>-30.312499039999999</v>
      </c>
      <c r="F114" s="16">
        <v>4.5914079839999999</v>
      </c>
      <c r="G114" s="17">
        <v>0.42147757400000002</v>
      </c>
      <c r="H114" s="18">
        <v>0</v>
      </c>
      <c r="I114" s="18">
        <v>0</v>
      </c>
      <c r="J114" s="19">
        <v>0</v>
      </c>
      <c r="K114" s="20">
        <v>1</v>
      </c>
      <c r="L114" s="19">
        <v>1E-3</v>
      </c>
      <c r="M114" s="19">
        <v>-1E-3</v>
      </c>
      <c r="N114" s="21">
        <v>1.0043906389999999</v>
      </c>
      <c r="O114" s="21">
        <v>0.99034310199999998</v>
      </c>
      <c r="P114" s="22">
        <v>-3.5086000999999999E-2</v>
      </c>
    </row>
    <row r="115" spans="1:16">
      <c r="A115" s="15">
        <v>45825</v>
      </c>
      <c r="B115" s="16">
        <v>191.3168182</v>
      </c>
      <c r="C115" s="16">
        <v>609.32952880000005</v>
      </c>
      <c r="D115" s="16">
        <v>-29.169214660000002</v>
      </c>
      <c r="E115" s="16">
        <v>-29.54825606</v>
      </c>
      <c r="F115" s="16">
        <v>3.8346118100000002</v>
      </c>
      <c r="G115" s="17">
        <v>9.8847398000000003E-2</v>
      </c>
      <c r="H115" s="18">
        <v>0</v>
      </c>
      <c r="I115" s="18">
        <v>0</v>
      </c>
      <c r="J115" s="19">
        <v>0</v>
      </c>
      <c r="K115" s="20">
        <v>0</v>
      </c>
      <c r="L115" s="19">
        <v>0</v>
      </c>
      <c r="M115" s="19">
        <v>0</v>
      </c>
      <c r="N115" s="21">
        <v>1.0043906389999999</v>
      </c>
      <c r="O115" s="21">
        <v>0.99034310199999998</v>
      </c>
      <c r="P115" s="22">
        <v>-3.5086000999999999E-2</v>
      </c>
    </row>
    <row r="116" spans="1:16">
      <c r="A116" s="15">
        <v>45826</v>
      </c>
      <c r="B116" s="16">
        <v>191.95555110000001</v>
      </c>
      <c r="C116" s="16">
        <v>619.66967769999997</v>
      </c>
      <c r="D116" s="16">
        <v>-30.805011369999999</v>
      </c>
      <c r="E116" s="16">
        <v>-29.060943989999998</v>
      </c>
      <c r="F116" s="16">
        <v>3.1623144540000001</v>
      </c>
      <c r="G116" s="17">
        <v>-0.55151611499999997</v>
      </c>
      <c r="H116" s="18">
        <v>0</v>
      </c>
      <c r="I116" s="18">
        <v>0</v>
      </c>
      <c r="J116" s="19">
        <v>0</v>
      </c>
      <c r="K116" s="20">
        <v>0</v>
      </c>
      <c r="L116" s="19">
        <v>0</v>
      </c>
      <c r="M116" s="19">
        <v>0</v>
      </c>
      <c r="N116" s="21">
        <v>1.0043906389999999</v>
      </c>
      <c r="O116" s="21">
        <v>0.99034310199999998</v>
      </c>
      <c r="P116" s="22">
        <v>-3.5086000999999999E-2</v>
      </c>
    </row>
    <row r="117" spans="1:16">
      <c r="A117" s="15">
        <v>45828</v>
      </c>
      <c r="B117" s="16">
        <v>191.8103638</v>
      </c>
      <c r="C117" s="16">
        <v>625.09344480000004</v>
      </c>
      <c r="D117" s="16">
        <v>-32.143268499999998</v>
      </c>
      <c r="E117" s="16">
        <v>-28.90588314</v>
      </c>
      <c r="F117" s="16">
        <v>2.935379309</v>
      </c>
      <c r="G117" s="17">
        <v>-1.102884846</v>
      </c>
      <c r="H117" s="18">
        <v>0</v>
      </c>
      <c r="I117" s="18">
        <v>0</v>
      </c>
      <c r="J117" s="19">
        <v>0</v>
      </c>
      <c r="K117" s="20">
        <v>0</v>
      </c>
      <c r="L117" s="19">
        <v>0</v>
      </c>
      <c r="M117" s="19">
        <v>0</v>
      </c>
      <c r="N117" s="21">
        <v>1.0043906389999999</v>
      </c>
      <c r="O117" s="21">
        <v>0.99034310199999998</v>
      </c>
      <c r="P117" s="22">
        <v>-3.5086000999999999E-2</v>
      </c>
    </row>
    <row r="118" spans="1:16">
      <c r="A118" s="15">
        <v>45831</v>
      </c>
      <c r="B118" s="16">
        <v>194.89752200000001</v>
      </c>
      <c r="C118" s="16">
        <v>631.02441409999994</v>
      </c>
      <c r="D118" s="16">
        <v>-30.360749649999999</v>
      </c>
      <c r="E118" s="16">
        <v>-28.897799559999999</v>
      </c>
      <c r="F118" s="16">
        <v>2.9308472590000001</v>
      </c>
      <c r="G118" s="17">
        <v>-0.49915603200000003</v>
      </c>
      <c r="H118" s="18">
        <v>0</v>
      </c>
      <c r="I118" s="18">
        <v>0</v>
      </c>
      <c r="J118" s="19">
        <v>0</v>
      </c>
      <c r="K118" s="20">
        <v>0</v>
      </c>
      <c r="L118" s="19">
        <v>0</v>
      </c>
      <c r="M118" s="19">
        <v>0</v>
      </c>
      <c r="N118" s="21">
        <v>1.0043906389999999</v>
      </c>
      <c r="O118" s="21">
        <v>0.99034310199999998</v>
      </c>
      <c r="P118" s="22">
        <v>-3.5086000999999999E-2</v>
      </c>
    </row>
    <row r="119" spans="1:16">
      <c r="A119" s="15">
        <v>45832</v>
      </c>
      <c r="B119" s="16">
        <v>199.17506409999999</v>
      </c>
      <c r="C119" s="16">
        <v>645.88110349999999</v>
      </c>
      <c r="D119" s="16">
        <v>-29.351243660000002</v>
      </c>
      <c r="E119" s="16">
        <v>-28.667771500000001</v>
      </c>
      <c r="F119" s="16">
        <v>2.7589654139999999</v>
      </c>
      <c r="G119" s="17">
        <v>-0.24772770099999999</v>
      </c>
      <c r="H119" s="18">
        <v>0</v>
      </c>
      <c r="I119" s="18">
        <v>0</v>
      </c>
      <c r="J119" s="19">
        <v>0</v>
      </c>
      <c r="K119" s="20">
        <v>0</v>
      </c>
      <c r="L119" s="19">
        <v>0</v>
      </c>
      <c r="M119" s="19">
        <v>0</v>
      </c>
      <c r="N119" s="21">
        <v>1.0043906389999999</v>
      </c>
      <c r="O119" s="21">
        <v>0.99034310199999998</v>
      </c>
      <c r="P119" s="22">
        <v>-3.5086000999999999E-2</v>
      </c>
    </row>
    <row r="120" spans="1:16">
      <c r="A120" s="15">
        <v>45833</v>
      </c>
      <c r="B120" s="16">
        <v>198.75892640000001</v>
      </c>
      <c r="C120" s="16">
        <v>653.45086670000001</v>
      </c>
      <c r="D120" s="16">
        <v>-31.432507340000001</v>
      </c>
      <c r="E120" s="16">
        <v>-28.621628879999999</v>
      </c>
      <c r="F120" s="16">
        <v>2.7024721669999998</v>
      </c>
      <c r="G120" s="17">
        <v>-1.040113748</v>
      </c>
      <c r="H120" s="18">
        <v>0</v>
      </c>
      <c r="I120" s="18">
        <v>0</v>
      </c>
      <c r="J120" s="19">
        <v>0</v>
      </c>
      <c r="K120" s="20">
        <v>0</v>
      </c>
      <c r="L120" s="19">
        <v>0</v>
      </c>
      <c r="M120" s="19">
        <v>0</v>
      </c>
      <c r="N120" s="21">
        <v>1.0043906389999999</v>
      </c>
      <c r="O120" s="21">
        <v>0.99034310199999998</v>
      </c>
      <c r="P120" s="22">
        <v>-3.5086000999999999E-2</v>
      </c>
    </row>
    <row r="121" spans="1:16">
      <c r="A121" s="15">
        <v>45834</v>
      </c>
      <c r="B121" s="16">
        <v>199.65892030000001</v>
      </c>
      <c r="C121" s="16">
        <v>670.31707759999995</v>
      </c>
      <c r="D121" s="16">
        <v>-34.242585380000001</v>
      </c>
      <c r="E121" s="16">
        <v>-29.365837639999999</v>
      </c>
      <c r="F121" s="16">
        <v>2.9284310699999998</v>
      </c>
      <c r="G121" s="17">
        <v>-1.66531075</v>
      </c>
      <c r="H121" s="18">
        <v>0</v>
      </c>
      <c r="I121" s="18">
        <v>0</v>
      </c>
      <c r="J121" s="19">
        <v>0</v>
      </c>
      <c r="K121" s="20">
        <v>0</v>
      </c>
      <c r="L121" s="19">
        <v>0</v>
      </c>
      <c r="M121" s="19">
        <v>0</v>
      </c>
      <c r="N121" s="21">
        <v>1.0043906389999999</v>
      </c>
      <c r="O121" s="21">
        <v>0.99034310199999998</v>
      </c>
      <c r="P121" s="22">
        <v>-3.5086000999999999E-2</v>
      </c>
    </row>
    <row r="122" spans="1:16">
      <c r="A122" s="15">
        <v>45835</v>
      </c>
      <c r="B122" s="16">
        <v>200.4041138</v>
      </c>
      <c r="C122" s="16">
        <v>673.87762450000002</v>
      </c>
      <c r="D122" s="16">
        <v>-34.280607830000001</v>
      </c>
      <c r="E122" s="16">
        <v>-30.337465439999999</v>
      </c>
      <c r="F122" s="16">
        <v>2.3677223390000002</v>
      </c>
      <c r="G122" s="17">
        <v>-1.6653736480000001</v>
      </c>
      <c r="H122" s="18">
        <v>0</v>
      </c>
      <c r="I122" s="18">
        <v>0</v>
      </c>
      <c r="J122" s="19">
        <v>0</v>
      </c>
      <c r="K122" s="20">
        <v>0</v>
      </c>
      <c r="L122" s="19">
        <v>0</v>
      </c>
      <c r="M122" s="19">
        <v>0</v>
      </c>
      <c r="N122" s="21">
        <v>1.0043906389999999</v>
      </c>
      <c r="O122" s="21">
        <v>0.99034310199999998</v>
      </c>
      <c r="P122" s="22">
        <v>-3.5086000999999999E-2</v>
      </c>
    </row>
    <row r="123" spans="1:16">
      <c r="A123" s="15">
        <v>45838</v>
      </c>
      <c r="B123" s="16">
        <v>200.9266815</v>
      </c>
      <c r="C123" s="16">
        <v>690.4024048</v>
      </c>
      <c r="D123" s="16">
        <v>-37.393007279999999</v>
      </c>
      <c r="E123" s="16">
        <v>-31.19247932</v>
      </c>
      <c r="F123" s="16">
        <v>2.8983642180000002</v>
      </c>
      <c r="G123" s="17">
        <v>-2.1393198029999998</v>
      </c>
      <c r="H123" s="18">
        <v>1</v>
      </c>
      <c r="I123" s="18">
        <v>0</v>
      </c>
      <c r="J123" s="19">
        <v>0</v>
      </c>
      <c r="K123" s="20">
        <v>0</v>
      </c>
      <c r="L123" s="19">
        <v>0</v>
      </c>
      <c r="M123" s="19">
        <v>0</v>
      </c>
      <c r="N123" s="21">
        <v>1.0043906389999999</v>
      </c>
      <c r="O123" s="21">
        <v>0.99034310199999998</v>
      </c>
      <c r="P123" s="22">
        <v>-3.5086000999999999E-2</v>
      </c>
    </row>
    <row r="124" spans="1:16">
      <c r="A124" s="15">
        <v>45839</v>
      </c>
      <c r="B124" s="16">
        <v>203.66546629999999</v>
      </c>
      <c r="C124" s="16">
        <v>689.14404300000001</v>
      </c>
      <c r="D124" s="16">
        <v>-34.377419789999998</v>
      </c>
      <c r="E124" s="16">
        <v>-31.77696628</v>
      </c>
      <c r="F124" s="16">
        <v>2.7599326940000002</v>
      </c>
      <c r="G124" s="17">
        <v>-0.94221627600000002</v>
      </c>
      <c r="H124" s="18">
        <v>1</v>
      </c>
      <c r="I124" s="18">
        <v>1</v>
      </c>
      <c r="J124" s="19">
        <v>8.5477049999999992E-3</v>
      </c>
      <c r="K124" s="20">
        <v>1</v>
      </c>
      <c r="L124" s="19">
        <v>1E-3</v>
      </c>
      <c r="M124" s="19">
        <v>7.547705E-3</v>
      </c>
      <c r="N124" s="21">
        <v>1.0129758740000001</v>
      </c>
      <c r="O124" s="21">
        <v>0.99781792000000002</v>
      </c>
      <c r="P124" s="22">
        <v>-2.7803115E-2</v>
      </c>
    </row>
    <row r="125" spans="1:16">
      <c r="A125" s="15">
        <v>45840</v>
      </c>
      <c r="B125" s="16">
        <v>208.63973999999999</v>
      </c>
      <c r="C125" s="16">
        <v>698.34289550000005</v>
      </c>
      <c r="D125" s="16">
        <v>-31.426623979999999</v>
      </c>
      <c r="E125" s="16">
        <v>-31.946630249999998</v>
      </c>
      <c r="F125" s="16">
        <v>2.6606962109999999</v>
      </c>
      <c r="G125" s="17">
        <v>0.19543992499999999</v>
      </c>
      <c r="H125" s="18">
        <v>0</v>
      </c>
      <c r="I125" s="18">
        <v>1</v>
      </c>
      <c r="J125" s="19">
        <v>8.3060889999999991E-3</v>
      </c>
      <c r="K125" s="20">
        <v>0</v>
      </c>
      <c r="L125" s="19">
        <v>0</v>
      </c>
      <c r="M125" s="19">
        <v>8.3060889999999991E-3</v>
      </c>
      <c r="N125" s="21">
        <v>1.021389742</v>
      </c>
      <c r="O125" s="21">
        <v>1.0061058839999999</v>
      </c>
      <c r="P125" s="22">
        <v>-1.9727960999999999E-2</v>
      </c>
    </row>
    <row r="126" spans="1:16">
      <c r="A126" s="15">
        <v>45841</v>
      </c>
      <c r="B126" s="16">
        <v>209.0558777</v>
      </c>
      <c r="C126" s="16">
        <v>705.94195560000003</v>
      </c>
      <c r="D126" s="16">
        <v>-32.682056719999999</v>
      </c>
      <c r="E126" s="16">
        <v>-32.305358009999999</v>
      </c>
      <c r="F126" s="16">
        <v>2.4145208829999998</v>
      </c>
      <c r="G126" s="17">
        <v>-0.15601385200000001</v>
      </c>
      <c r="H126" s="18">
        <v>0</v>
      </c>
      <c r="I126" s="18">
        <v>0</v>
      </c>
      <c r="J126" s="19">
        <v>0</v>
      </c>
      <c r="K126" s="20">
        <v>1</v>
      </c>
      <c r="L126" s="19">
        <v>1E-3</v>
      </c>
      <c r="M126" s="19">
        <v>-1E-3</v>
      </c>
      <c r="N126" s="21">
        <v>1.021389742</v>
      </c>
      <c r="O126" s="21">
        <v>1.0050997779999999</v>
      </c>
      <c r="P126" s="22">
        <v>-2.0708233E-2</v>
      </c>
    </row>
    <row r="127" spans="1:16">
      <c r="A127" s="15">
        <v>45845</v>
      </c>
      <c r="B127" s="16">
        <v>206.5300598</v>
      </c>
      <c r="C127" s="16">
        <v>693.50445560000003</v>
      </c>
      <c r="D127" s="16">
        <v>-32.471989219999998</v>
      </c>
      <c r="E127" s="16">
        <v>-32.580589230000001</v>
      </c>
      <c r="F127" s="16">
        <v>2.2035584070000001</v>
      </c>
      <c r="G127" s="17">
        <v>4.9283925999999999E-2</v>
      </c>
      <c r="H127" s="18">
        <v>0</v>
      </c>
      <c r="I127" s="18">
        <v>0</v>
      </c>
      <c r="J127" s="19">
        <v>0</v>
      </c>
      <c r="K127" s="20">
        <v>0</v>
      </c>
      <c r="L127" s="19">
        <v>0</v>
      </c>
      <c r="M127" s="19">
        <v>0</v>
      </c>
      <c r="N127" s="21">
        <v>1.021389742</v>
      </c>
      <c r="O127" s="21">
        <v>1.0050997779999999</v>
      </c>
      <c r="P127" s="22">
        <v>-2.0708233E-2</v>
      </c>
    </row>
    <row r="128" spans="1:16">
      <c r="A128" s="15">
        <v>45846</v>
      </c>
      <c r="B128" s="16">
        <v>209.64622499999999</v>
      </c>
      <c r="C128" s="16">
        <v>680.18914789999997</v>
      </c>
      <c r="D128" s="16">
        <v>-26.426846749999999</v>
      </c>
      <c r="E128" s="16">
        <v>-32.215742169999999</v>
      </c>
      <c r="F128" s="16">
        <v>2.8047180300000001</v>
      </c>
      <c r="G128" s="17">
        <v>2.0639848170000001</v>
      </c>
      <c r="H128" s="18">
        <v>-1</v>
      </c>
      <c r="I128" s="18">
        <v>0</v>
      </c>
      <c r="J128" s="19">
        <v>0</v>
      </c>
      <c r="K128" s="20">
        <v>0</v>
      </c>
      <c r="L128" s="19">
        <v>0</v>
      </c>
      <c r="M128" s="19">
        <v>0</v>
      </c>
      <c r="N128" s="21">
        <v>1.021389742</v>
      </c>
      <c r="O128" s="21">
        <v>1.0050997779999999</v>
      </c>
      <c r="P128" s="22">
        <v>-2.0708233E-2</v>
      </c>
    </row>
    <row r="129" spans="1:16">
      <c r="A129" s="15">
        <v>45847</v>
      </c>
      <c r="B129" s="16">
        <v>209.4139557</v>
      </c>
      <c r="C129" s="16">
        <v>679.48675539999999</v>
      </c>
      <c r="D129" s="16">
        <v>-26.50461026</v>
      </c>
      <c r="E129" s="16">
        <v>-31.745853990000001</v>
      </c>
      <c r="F129" s="16">
        <v>3.2542714859999999</v>
      </c>
      <c r="G129" s="17">
        <v>1.6105735960000001</v>
      </c>
      <c r="H129" s="18">
        <v>-1</v>
      </c>
      <c r="I129" s="18">
        <v>-1</v>
      </c>
      <c r="J129" s="19">
        <v>2.1645E-4</v>
      </c>
      <c r="K129" s="20">
        <v>1</v>
      </c>
      <c r="L129" s="19">
        <v>1E-3</v>
      </c>
      <c r="M129" s="19">
        <v>-7.8355000000000005E-4</v>
      </c>
      <c r="N129" s="21">
        <v>1.021610822</v>
      </c>
      <c r="O129" s="21">
        <v>1.004312232</v>
      </c>
      <c r="P129" s="22">
        <v>-2.1475556999999999E-2</v>
      </c>
    </row>
    <row r="130" spans="1:16">
      <c r="A130" s="15">
        <v>45848</v>
      </c>
      <c r="B130" s="16">
        <v>212.57853700000001</v>
      </c>
      <c r="C130" s="16">
        <v>691.73889159999999</v>
      </c>
      <c r="D130" s="16">
        <v>-26.035139730000001</v>
      </c>
      <c r="E130" s="16">
        <v>-31.385386489999998</v>
      </c>
      <c r="F130" s="16">
        <v>3.6385263430000001</v>
      </c>
      <c r="G130" s="17">
        <v>1.4704433210000001</v>
      </c>
      <c r="H130" s="18">
        <v>-1</v>
      </c>
      <c r="I130" s="18">
        <v>-1</v>
      </c>
      <c r="J130" s="19">
        <v>-1.308151E-3</v>
      </c>
      <c r="K130" s="20">
        <v>0</v>
      </c>
      <c r="L130" s="19">
        <v>0</v>
      </c>
      <c r="M130" s="19">
        <v>-1.308151E-3</v>
      </c>
      <c r="N130" s="21">
        <v>1.020274401</v>
      </c>
      <c r="O130" s="21">
        <v>1.0029984409999999</v>
      </c>
      <c r="P130" s="22">
        <v>-2.2755614E-2</v>
      </c>
    </row>
    <row r="131" spans="1:16">
      <c r="A131" s="15">
        <v>45849</v>
      </c>
      <c r="B131" s="16">
        <v>214.1172943</v>
      </c>
      <c r="C131" s="16">
        <v>687.67108150000001</v>
      </c>
      <c r="D131" s="16">
        <v>-23.60158345</v>
      </c>
      <c r="E131" s="16">
        <v>-30.906248139999999</v>
      </c>
      <c r="F131" s="16">
        <v>4.2567869180000004</v>
      </c>
      <c r="G131" s="17">
        <v>1.716004308</v>
      </c>
      <c r="H131" s="18">
        <v>-1</v>
      </c>
      <c r="I131" s="18">
        <v>-1</v>
      </c>
      <c r="J131" s="19">
        <v>-6.6720149999999999E-3</v>
      </c>
      <c r="K131" s="20">
        <v>0</v>
      </c>
      <c r="L131" s="19">
        <v>0</v>
      </c>
      <c r="M131" s="19">
        <v>-6.6720149999999999E-3</v>
      </c>
      <c r="N131" s="21">
        <v>1.013467114</v>
      </c>
      <c r="O131" s="21">
        <v>0.99630642000000003</v>
      </c>
      <c r="P131" s="22">
        <v>-2.9275803999999999E-2</v>
      </c>
    </row>
    <row r="132" spans="1:16">
      <c r="A132" s="15">
        <v>45852</v>
      </c>
      <c r="B132" s="16">
        <v>212.95597839999999</v>
      </c>
      <c r="C132" s="16">
        <v>695.81640630000004</v>
      </c>
      <c r="D132" s="16">
        <v>-26.554632009999999</v>
      </c>
      <c r="E132" s="16">
        <v>-30.499758530000001</v>
      </c>
      <c r="F132" s="16">
        <v>4.4312874400000002</v>
      </c>
      <c r="G132" s="17">
        <v>0.89028901299999996</v>
      </c>
      <c r="H132" s="18">
        <v>-1</v>
      </c>
      <c r="I132" s="18">
        <v>-1</v>
      </c>
      <c r="J132" s="19">
        <v>8.0820240000000002E-3</v>
      </c>
      <c r="K132" s="20">
        <v>0</v>
      </c>
      <c r="L132" s="19">
        <v>0</v>
      </c>
      <c r="M132" s="19">
        <v>8.0820240000000002E-3</v>
      </c>
      <c r="N132" s="21">
        <v>1.0216579800000001</v>
      </c>
      <c r="O132" s="21">
        <v>1.004358592</v>
      </c>
      <c r="P132" s="22">
        <v>-2.1430386999999999E-2</v>
      </c>
    </row>
    <row r="133" spans="1:16">
      <c r="A133" s="15">
        <v>45853</v>
      </c>
      <c r="B133" s="16">
        <v>211.32046510000001</v>
      </c>
      <c r="C133" s="16">
        <v>685.2908936</v>
      </c>
      <c r="D133" s="16">
        <v>-25.874841100000001</v>
      </c>
      <c r="E133" s="16">
        <v>-29.802446509999999</v>
      </c>
      <c r="F133" s="16">
        <v>4.4471193109999998</v>
      </c>
      <c r="G133" s="17">
        <v>0.88317968000000002</v>
      </c>
      <c r="H133" s="18">
        <v>-1</v>
      </c>
      <c r="I133" s="18">
        <v>-1</v>
      </c>
      <c r="J133" s="19">
        <v>-1.857275E-3</v>
      </c>
      <c r="K133" s="20">
        <v>0</v>
      </c>
      <c r="L133" s="19">
        <v>0</v>
      </c>
      <c r="M133" s="19">
        <v>-1.857275E-3</v>
      </c>
      <c r="N133" s="21">
        <v>1.01976048</v>
      </c>
      <c r="O133" s="21">
        <v>1.002493222</v>
      </c>
      <c r="P133" s="22">
        <v>-2.3247861000000002E-2</v>
      </c>
    </row>
    <row r="134" spans="1:16">
      <c r="A134" s="15">
        <v>45854</v>
      </c>
      <c r="B134" s="16">
        <v>209.65591430000001</v>
      </c>
      <c r="C134" s="16">
        <v>691.44622800000002</v>
      </c>
      <c r="D134" s="16">
        <v>-28.893385009999999</v>
      </c>
      <c r="E134" s="16">
        <v>-29.353511269999998</v>
      </c>
      <c r="F134" s="16">
        <v>4.2200767089999998</v>
      </c>
      <c r="G134" s="17">
        <v>0.10903267799999999</v>
      </c>
      <c r="H134" s="18">
        <v>0</v>
      </c>
      <c r="I134" s="18">
        <v>-1</v>
      </c>
      <c r="J134" s="19">
        <v>8.3370370000000003E-3</v>
      </c>
      <c r="K134" s="20">
        <v>0</v>
      </c>
      <c r="L134" s="19">
        <v>0</v>
      </c>
      <c r="M134" s="19">
        <v>8.3370370000000003E-3</v>
      </c>
      <c r="N134" s="21">
        <v>1.0282622610000001</v>
      </c>
      <c r="O134" s="21">
        <v>1.0108510449999999</v>
      </c>
      <c r="P134" s="22">
        <v>-1.5104642E-2</v>
      </c>
    </row>
    <row r="135" spans="1:16">
      <c r="A135" s="15">
        <v>45855</v>
      </c>
      <c r="B135" s="16">
        <v>209.60749820000001</v>
      </c>
      <c r="C135" s="16">
        <v>688.53924559999996</v>
      </c>
      <c r="D135" s="16">
        <v>-28.302350239999999</v>
      </c>
      <c r="E135" s="16">
        <v>-28.595956520000001</v>
      </c>
      <c r="F135" s="16">
        <v>3.3775232279999998</v>
      </c>
      <c r="G135" s="17">
        <v>8.6929463999999998E-2</v>
      </c>
      <c r="H135" s="18">
        <v>0</v>
      </c>
      <c r="I135" s="18">
        <v>0</v>
      </c>
      <c r="J135" s="19">
        <v>0</v>
      </c>
      <c r="K135" s="20">
        <v>1</v>
      </c>
      <c r="L135" s="19">
        <v>1E-3</v>
      </c>
      <c r="M135" s="19">
        <v>-1E-3</v>
      </c>
      <c r="N135" s="21">
        <v>1.0282622610000001</v>
      </c>
      <c r="O135" s="21">
        <v>1.0098401939999999</v>
      </c>
      <c r="P135" s="22">
        <v>-1.6089538E-2</v>
      </c>
    </row>
    <row r="136" spans="1:16">
      <c r="A136" s="15">
        <v>45856</v>
      </c>
      <c r="B136" s="16">
        <v>209.6365356</v>
      </c>
      <c r="C136" s="16">
        <v>690.89996340000005</v>
      </c>
      <c r="D136" s="16">
        <v>-28.79260146</v>
      </c>
      <c r="E136" s="16">
        <v>-28.13055499</v>
      </c>
      <c r="F136" s="16">
        <v>2.8524066939999999</v>
      </c>
      <c r="G136" s="17">
        <v>-0.232101008</v>
      </c>
      <c r="H136" s="18">
        <v>0</v>
      </c>
      <c r="I136" s="18">
        <v>0</v>
      </c>
      <c r="J136" s="19">
        <v>0</v>
      </c>
      <c r="K136" s="20">
        <v>0</v>
      </c>
      <c r="L136" s="19">
        <v>0</v>
      </c>
      <c r="M136" s="19">
        <v>0</v>
      </c>
      <c r="N136" s="21">
        <v>1.0282622610000001</v>
      </c>
      <c r="O136" s="21">
        <v>1.0098401939999999</v>
      </c>
      <c r="P136" s="22">
        <v>-1.6089538E-2</v>
      </c>
    </row>
    <row r="137" spans="1:16">
      <c r="A137" s="15">
        <v>45859</v>
      </c>
      <c r="B137" s="16">
        <v>207.6526489</v>
      </c>
      <c r="C137" s="16">
        <v>688.69537349999996</v>
      </c>
      <c r="D137" s="16">
        <v>-30.291543050000001</v>
      </c>
      <c r="E137" s="16">
        <v>-28.035964920000001</v>
      </c>
      <c r="F137" s="16">
        <v>2.7501552789999999</v>
      </c>
      <c r="G137" s="17">
        <v>-0.82016391899999996</v>
      </c>
      <c r="H137" s="18">
        <v>0</v>
      </c>
      <c r="I137" s="18">
        <v>0</v>
      </c>
      <c r="J137" s="19">
        <v>0</v>
      </c>
      <c r="K137" s="20">
        <v>0</v>
      </c>
      <c r="L137" s="19">
        <v>0</v>
      </c>
      <c r="M137" s="19">
        <v>0</v>
      </c>
      <c r="N137" s="21">
        <v>1.0282622610000001</v>
      </c>
      <c r="O137" s="21">
        <v>1.0098401939999999</v>
      </c>
      <c r="P137" s="22">
        <v>-1.6089538E-2</v>
      </c>
    </row>
    <row r="138" spans="1:16">
      <c r="A138" s="15">
        <v>45860</v>
      </c>
      <c r="B138" s="16">
        <v>207.99136350000001</v>
      </c>
      <c r="C138" s="16">
        <v>683.2423096</v>
      </c>
      <c r="D138" s="16">
        <v>-28.753314240000002</v>
      </c>
      <c r="E138" s="16">
        <v>-27.708569709999999</v>
      </c>
      <c r="F138" s="16">
        <v>2.351770401</v>
      </c>
      <c r="G138" s="17">
        <v>-0.44423747000000002</v>
      </c>
      <c r="H138" s="18">
        <v>0</v>
      </c>
      <c r="I138" s="18">
        <v>0</v>
      </c>
      <c r="J138" s="19">
        <v>0</v>
      </c>
      <c r="K138" s="20">
        <v>0</v>
      </c>
      <c r="L138" s="19">
        <v>0</v>
      </c>
      <c r="M138" s="19">
        <v>0</v>
      </c>
      <c r="N138" s="21">
        <v>1.0282622610000001</v>
      </c>
      <c r="O138" s="21">
        <v>1.0098401939999999</v>
      </c>
      <c r="P138" s="22">
        <v>-1.6089538E-2</v>
      </c>
    </row>
    <row r="139" spans="1:16">
      <c r="A139" s="15">
        <v>45861</v>
      </c>
      <c r="B139" s="16">
        <v>180.24563599999999</v>
      </c>
      <c r="C139" s="16">
        <v>699.93298340000001</v>
      </c>
      <c r="D139" s="16">
        <v>-60.170500699999998</v>
      </c>
      <c r="E139" s="16">
        <v>-30.016779</v>
      </c>
      <c r="F139" s="16">
        <v>9.6671510380000001</v>
      </c>
      <c r="G139" s="17">
        <v>-3.1191942259999998</v>
      </c>
      <c r="H139" s="18">
        <v>1</v>
      </c>
      <c r="I139" s="18">
        <v>0</v>
      </c>
      <c r="J139" s="19">
        <v>0</v>
      </c>
      <c r="K139" s="20">
        <v>0</v>
      </c>
      <c r="L139" s="19">
        <v>0</v>
      </c>
      <c r="M139" s="19">
        <v>0</v>
      </c>
      <c r="N139" s="21">
        <v>1.0282622610000001</v>
      </c>
      <c r="O139" s="21">
        <v>1.0098401939999999</v>
      </c>
      <c r="P139" s="22">
        <v>-1.6089538E-2</v>
      </c>
    </row>
    <row r="140" spans="1:16">
      <c r="A140" s="15">
        <v>45862</v>
      </c>
      <c r="B140" s="16">
        <v>179.70367429999999</v>
      </c>
      <c r="C140" s="16">
        <v>701.55230710000001</v>
      </c>
      <c r="D140" s="16">
        <v>-61.068666120000003</v>
      </c>
      <c r="E140" s="16">
        <v>-32.90359728</v>
      </c>
      <c r="F140" s="16">
        <v>13.070853570000001</v>
      </c>
      <c r="G140" s="17">
        <v>-2.154799508</v>
      </c>
      <c r="H140" s="18">
        <v>1</v>
      </c>
      <c r="I140" s="18">
        <v>1</v>
      </c>
      <c r="J140" s="19">
        <v>-2.6874249999999998E-3</v>
      </c>
      <c r="K140" s="20">
        <v>1</v>
      </c>
      <c r="L140" s="19">
        <v>1E-3</v>
      </c>
      <c r="M140" s="19">
        <v>-3.6874249999999998E-3</v>
      </c>
      <c r="N140" s="21">
        <v>1.025498883</v>
      </c>
      <c r="O140" s="21">
        <v>1.006116483</v>
      </c>
      <c r="P140" s="22">
        <v>-1.9717634000000001E-2</v>
      </c>
    </row>
    <row r="141" spans="1:16">
      <c r="A141" s="15">
        <v>45863</v>
      </c>
      <c r="B141" s="16">
        <v>179.02626040000001</v>
      </c>
      <c r="C141" s="16">
        <v>711.11199950000002</v>
      </c>
      <c r="D141" s="16">
        <v>-63.848932130000001</v>
      </c>
      <c r="E141" s="16">
        <v>-36.015624099999997</v>
      </c>
      <c r="F141" s="16">
        <v>15.608184120000001</v>
      </c>
      <c r="G141" s="17">
        <v>-1.783250877</v>
      </c>
      <c r="H141" s="18">
        <v>1</v>
      </c>
      <c r="I141" s="18">
        <v>1</v>
      </c>
      <c r="J141" s="19">
        <v>-8.3235359999999994E-3</v>
      </c>
      <c r="K141" s="20">
        <v>0</v>
      </c>
      <c r="L141" s="19">
        <v>0</v>
      </c>
      <c r="M141" s="19">
        <v>-8.3235359999999994E-3</v>
      </c>
      <c r="N141" s="21">
        <v>1.0169631050000001</v>
      </c>
      <c r="O141" s="21">
        <v>0.997742036</v>
      </c>
      <c r="P141" s="22">
        <v>-2.787705E-2</v>
      </c>
    </row>
    <row r="142" spans="1:16">
      <c r="A142" s="15">
        <v>45866</v>
      </c>
      <c r="B142" s="16">
        <v>183.1489105</v>
      </c>
      <c r="C142" s="16">
        <v>705.91271970000003</v>
      </c>
      <c r="D142" s="16">
        <v>-58.582592849999997</v>
      </c>
      <c r="E142" s="16">
        <v>-38.727911859999999</v>
      </c>
      <c r="F142" s="16">
        <v>16.517620010000002</v>
      </c>
      <c r="G142" s="17">
        <v>-1.202030376</v>
      </c>
      <c r="H142" s="18">
        <v>1</v>
      </c>
      <c r="I142" s="18">
        <v>1</v>
      </c>
      <c r="J142" s="19">
        <v>1.5699325E-2</v>
      </c>
      <c r="K142" s="20">
        <v>0</v>
      </c>
      <c r="L142" s="19">
        <v>0</v>
      </c>
      <c r="M142" s="19">
        <v>1.5699325E-2</v>
      </c>
      <c r="N142" s="21">
        <v>1.0329287389999999</v>
      </c>
      <c r="O142" s="21">
        <v>1.0134059120000001</v>
      </c>
      <c r="P142" s="22">
        <v>-1.2615375999999999E-2</v>
      </c>
    </row>
    <row r="143" spans="1:16">
      <c r="A143" s="15">
        <v>45867</v>
      </c>
      <c r="B143" s="16">
        <v>185.21025090000001</v>
      </c>
      <c r="C143" s="16">
        <v>714.03857419999997</v>
      </c>
      <c r="D143" s="16">
        <v>-58.308702279999999</v>
      </c>
      <c r="E143" s="16">
        <v>-41.620171769999999</v>
      </c>
      <c r="F143" s="16">
        <v>16.666157900000002</v>
      </c>
      <c r="G143" s="17">
        <v>-1.001342398</v>
      </c>
      <c r="H143" s="18">
        <v>1</v>
      </c>
      <c r="I143" s="18">
        <v>1</v>
      </c>
      <c r="J143" s="19">
        <v>8.0929999999999999E-4</v>
      </c>
      <c r="K143" s="20">
        <v>0</v>
      </c>
      <c r="L143" s="19">
        <v>0</v>
      </c>
      <c r="M143" s="19">
        <v>8.0929999999999999E-4</v>
      </c>
      <c r="N143" s="21">
        <v>1.033764688</v>
      </c>
      <c r="O143" s="21">
        <v>1.0142260620000001</v>
      </c>
      <c r="P143" s="22">
        <v>-1.1816286E-2</v>
      </c>
    </row>
    <row r="144" spans="1:16">
      <c r="A144" s="15">
        <v>45868</v>
      </c>
      <c r="B144" s="16">
        <v>183.4102173</v>
      </c>
      <c r="C144" s="16">
        <v>712.83868410000002</v>
      </c>
      <c r="D144" s="16">
        <v>-59.8447952</v>
      </c>
      <c r="E144" s="16">
        <v>-44.39435203</v>
      </c>
      <c r="F144" s="16">
        <v>16.70106831</v>
      </c>
      <c r="G144" s="17">
        <v>-0.92511705700000002</v>
      </c>
      <c r="H144" s="18">
        <v>1</v>
      </c>
      <c r="I144" s="18">
        <v>1</v>
      </c>
      <c r="J144" s="19">
        <v>-4.4878540000000003E-3</v>
      </c>
      <c r="K144" s="20">
        <v>0</v>
      </c>
      <c r="L144" s="19">
        <v>0</v>
      </c>
      <c r="M144" s="19">
        <v>-4.4878540000000003E-3</v>
      </c>
      <c r="N144" s="21">
        <v>1.029125303</v>
      </c>
      <c r="O144" s="21">
        <v>1.009674363</v>
      </c>
      <c r="P144" s="22">
        <v>-1.6251109999999999E-2</v>
      </c>
    </row>
    <row r="145" spans="1:16">
      <c r="A145" s="15">
        <v>45869</v>
      </c>
      <c r="B145" s="16">
        <v>176.4894257</v>
      </c>
      <c r="C145" s="16">
        <v>705.85418700000002</v>
      </c>
      <c r="D145" s="16">
        <v>-65.229202240000006</v>
      </c>
      <c r="E145" s="16">
        <v>-47.673882130000003</v>
      </c>
      <c r="F145" s="16">
        <v>16.59747351</v>
      </c>
      <c r="G145" s="17">
        <v>-1.0577103859999999</v>
      </c>
      <c r="H145" s="18">
        <v>1</v>
      </c>
      <c r="I145" s="18">
        <v>1</v>
      </c>
      <c r="J145" s="19">
        <v>-1.5826538000000001E-2</v>
      </c>
      <c r="K145" s="20">
        <v>0</v>
      </c>
      <c r="L145" s="19">
        <v>0</v>
      </c>
      <c r="M145" s="19">
        <v>-1.5826538000000001E-2</v>
      </c>
      <c r="N145" s="21">
        <v>1.012837813</v>
      </c>
      <c r="O145" s="21">
        <v>0.99369471300000001</v>
      </c>
      <c r="P145" s="22">
        <v>-3.1820449000000001E-2</v>
      </c>
    </row>
    <row r="146" spans="1:16">
      <c r="A146" s="15">
        <v>45870</v>
      </c>
      <c r="B146" s="16">
        <v>176.29449460000001</v>
      </c>
      <c r="C146" s="16">
        <v>692.1778564</v>
      </c>
      <c r="D146" s="16">
        <v>-62.415741490000002</v>
      </c>
      <c r="E146" s="16">
        <v>-50.467411830000003</v>
      </c>
      <c r="F146" s="16">
        <v>15.95791921</v>
      </c>
      <c r="G146" s="17">
        <v>-0.748739826</v>
      </c>
      <c r="H146" s="18">
        <v>1</v>
      </c>
      <c r="I146" s="18">
        <v>1</v>
      </c>
      <c r="J146" s="19">
        <v>8.4804949999999994E-3</v>
      </c>
      <c r="K146" s="20">
        <v>0</v>
      </c>
      <c r="L146" s="19">
        <v>0</v>
      </c>
      <c r="M146" s="19">
        <v>8.4804949999999994E-3</v>
      </c>
      <c r="N146" s="21">
        <v>1.021427179</v>
      </c>
      <c r="O146" s="21">
        <v>1.002121737</v>
      </c>
      <c r="P146" s="22">
        <v>-2.3609807E-2</v>
      </c>
    </row>
    <row r="147" spans="1:16">
      <c r="A147" s="15">
        <v>45873</v>
      </c>
      <c r="B147" s="16">
        <v>178.11727909999999</v>
      </c>
      <c r="C147" s="16">
        <v>708.234375</v>
      </c>
      <c r="D147" s="16">
        <v>-64.124920419999995</v>
      </c>
      <c r="E147" s="16">
        <v>-53.452626019999997</v>
      </c>
      <c r="F147" s="16">
        <v>14.73865228</v>
      </c>
      <c r="G147" s="17">
        <v>-0.72410246199999995</v>
      </c>
      <c r="H147" s="18">
        <v>1</v>
      </c>
      <c r="I147" s="18">
        <v>1</v>
      </c>
      <c r="J147" s="19">
        <v>-5.2021350000000001E-3</v>
      </c>
      <c r="K147" s="20">
        <v>0</v>
      </c>
      <c r="L147" s="19">
        <v>0</v>
      </c>
      <c r="M147" s="19">
        <v>-5.2021350000000001E-3</v>
      </c>
      <c r="N147" s="21">
        <v>1.016113576</v>
      </c>
      <c r="O147" s="21">
        <v>0.99690856400000005</v>
      </c>
      <c r="P147" s="22">
        <v>-2.8689121000000001E-2</v>
      </c>
    </row>
    <row r="148" spans="1:16">
      <c r="A148" s="15">
        <v>45874</v>
      </c>
      <c r="B148" s="16">
        <v>180.71989439999999</v>
      </c>
      <c r="C148" s="16">
        <v>703.23980710000001</v>
      </c>
      <c r="D148" s="16">
        <v>-60.423646560000002</v>
      </c>
      <c r="E148" s="16">
        <v>-56.088546440000002</v>
      </c>
      <c r="F148" s="16">
        <v>12.60089456</v>
      </c>
      <c r="G148" s="17">
        <v>-0.34403114000000001</v>
      </c>
      <c r="H148" s="18">
        <v>0</v>
      </c>
      <c r="I148" s="18">
        <v>1</v>
      </c>
      <c r="J148" s="19">
        <v>1.1084709E-2</v>
      </c>
      <c r="K148" s="20">
        <v>0</v>
      </c>
      <c r="L148" s="19">
        <v>0</v>
      </c>
      <c r="M148" s="19">
        <v>1.1084709E-2</v>
      </c>
      <c r="N148" s="21">
        <v>1.0273768999999999</v>
      </c>
      <c r="O148" s="21">
        <v>1.007959005</v>
      </c>
      <c r="P148" s="22">
        <v>-1.7922423E-2</v>
      </c>
    </row>
    <row r="149" spans="1:16">
      <c r="A149" s="15">
        <v>45875</v>
      </c>
      <c r="B149" s="16">
        <v>181.21702579999999</v>
      </c>
      <c r="C149" s="16">
        <v>706.97595209999997</v>
      </c>
      <c r="D149" s="16">
        <v>-60.748357579999997</v>
      </c>
      <c r="E149" s="16">
        <v>-58.626614320000002</v>
      </c>
      <c r="F149" s="16">
        <v>9.6555917610000002</v>
      </c>
      <c r="G149" s="17">
        <v>-0.21974243700000001</v>
      </c>
      <c r="H149" s="18">
        <v>0</v>
      </c>
      <c r="I149" s="18">
        <v>0</v>
      </c>
      <c r="J149" s="19">
        <v>0</v>
      </c>
      <c r="K149" s="20">
        <v>1</v>
      </c>
      <c r="L149" s="19">
        <v>1E-3</v>
      </c>
      <c r="M149" s="19">
        <v>-1E-3</v>
      </c>
      <c r="N149" s="21">
        <v>1.0273768999999999</v>
      </c>
      <c r="O149" s="21">
        <v>1.006951046</v>
      </c>
      <c r="P149" s="22">
        <v>-1.8904500000000001E-2</v>
      </c>
    </row>
    <row r="150" spans="1:16">
      <c r="A150" s="15">
        <v>45876</v>
      </c>
      <c r="B150" s="16">
        <v>181.21702579999999</v>
      </c>
      <c r="C150" s="16">
        <v>702.09851070000002</v>
      </c>
      <c r="D150" s="16">
        <v>-59.675463460000003</v>
      </c>
      <c r="E150" s="16">
        <v>-61.20346009</v>
      </c>
      <c r="F150" s="16">
        <v>2.2266851129999998</v>
      </c>
      <c r="G150" s="17">
        <v>0.68622034399999998</v>
      </c>
      <c r="H150" s="18">
        <v>0</v>
      </c>
      <c r="I150" s="18">
        <v>0</v>
      </c>
      <c r="J150" s="19">
        <v>0</v>
      </c>
      <c r="K150" s="20">
        <v>0</v>
      </c>
      <c r="L150" s="19">
        <v>0</v>
      </c>
      <c r="M150" s="19">
        <v>0</v>
      </c>
      <c r="N150" s="21">
        <v>1.0273768999999999</v>
      </c>
      <c r="O150" s="21">
        <v>1.006951046</v>
      </c>
      <c r="P150" s="22">
        <v>-1.8904500000000001E-2</v>
      </c>
    </row>
    <row r="151" spans="1:16">
      <c r="A151" s="15">
        <v>45877</v>
      </c>
      <c r="B151" s="16">
        <v>182.49394229999999</v>
      </c>
      <c r="C151" s="16">
        <v>703.59106450000002</v>
      </c>
      <c r="D151" s="16">
        <v>-58.726865019999998</v>
      </c>
      <c r="E151" s="16">
        <v>-61.083157110000002</v>
      </c>
      <c r="F151" s="16">
        <v>2.3244204919999998</v>
      </c>
      <c r="G151" s="17">
        <v>1.013711633</v>
      </c>
      <c r="H151" s="18">
        <v>0</v>
      </c>
      <c r="I151" s="18">
        <v>0</v>
      </c>
      <c r="J151" s="19">
        <v>0</v>
      </c>
      <c r="K151" s="20">
        <v>0</v>
      </c>
      <c r="L151" s="19">
        <v>0</v>
      </c>
      <c r="M151" s="19">
        <v>0</v>
      </c>
      <c r="N151" s="21">
        <v>1.0273768999999999</v>
      </c>
      <c r="O151" s="21">
        <v>1.006951046</v>
      </c>
      <c r="P151" s="22">
        <v>-1.8904500000000001E-2</v>
      </c>
    </row>
    <row r="152" spans="1:16">
      <c r="A152" s="15">
        <v>45880</v>
      </c>
      <c r="B152" s="16">
        <v>179.07254030000001</v>
      </c>
      <c r="C152" s="16">
        <v>701.61077880000005</v>
      </c>
      <c r="D152" s="16">
        <v>-61.712662209999998</v>
      </c>
      <c r="E152" s="16">
        <v>-61.136823450000001</v>
      </c>
      <c r="F152" s="16">
        <v>2.331479098</v>
      </c>
      <c r="G152" s="17">
        <v>-0.24698431000000001</v>
      </c>
      <c r="H152" s="18">
        <v>0</v>
      </c>
      <c r="I152" s="18">
        <v>0</v>
      </c>
      <c r="J152" s="19">
        <v>0</v>
      </c>
      <c r="K152" s="20">
        <v>0</v>
      </c>
      <c r="L152" s="19">
        <v>0</v>
      </c>
      <c r="M152" s="19">
        <v>0</v>
      </c>
      <c r="N152" s="21">
        <v>1.0273768999999999</v>
      </c>
      <c r="O152" s="21">
        <v>1.006951046</v>
      </c>
      <c r="P152" s="22">
        <v>-1.8904500000000001E-2</v>
      </c>
    </row>
    <row r="153" spans="1:16">
      <c r="A153" s="15">
        <v>45881</v>
      </c>
      <c r="B153" s="16">
        <v>188.0988007</v>
      </c>
      <c r="C153" s="16">
        <v>725.15911870000002</v>
      </c>
      <c r="D153" s="16">
        <v>-57.866346239999999</v>
      </c>
      <c r="E153" s="16">
        <v>-60.638274629999998</v>
      </c>
      <c r="F153" s="16">
        <v>2.338445857</v>
      </c>
      <c r="G153" s="17">
        <v>1.1853720649999999</v>
      </c>
      <c r="H153" s="18">
        <v>0</v>
      </c>
      <c r="I153" s="18">
        <v>0</v>
      </c>
      <c r="J153" s="19">
        <v>0</v>
      </c>
      <c r="K153" s="20">
        <v>0</v>
      </c>
      <c r="L153" s="19">
        <v>0</v>
      </c>
      <c r="M153" s="19">
        <v>0</v>
      </c>
      <c r="N153" s="21">
        <v>1.0273768999999999</v>
      </c>
      <c r="O153" s="21">
        <v>1.006951046</v>
      </c>
      <c r="P153" s="22">
        <v>-1.8904500000000001E-2</v>
      </c>
    </row>
    <row r="154" spans="1:16">
      <c r="A154" s="15">
        <v>45882</v>
      </c>
      <c r="B154" s="16">
        <v>188.41072080000001</v>
      </c>
      <c r="C154" s="16">
        <v>726.43701169999997</v>
      </c>
      <c r="D154" s="16">
        <v>-57.835525079999996</v>
      </c>
      <c r="E154" s="16">
        <v>-60.576018980000001</v>
      </c>
      <c r="F154" s="16">
        <v>2.4070858949999998</v>
      </c>
      <c r="G154" s="17">
        <v>1.1385110549999999</v>
      </c>
      <c r="H154" s="18">
        <v>0</v>
      </c>
      <c r="I154" s="18">
        <v>0</v>
      </c>
      <c r="J154" s="19">
        <v>0</v>
      </c>
      <c r="K154" s="20">
        <v>0</v>
      </c>
      <c r="L154" s="19">
        <v>0</v>
      </c>
      <c r="M154" s="19">
        <v>0</v>
      </c>
      <c r="N154" s="21">
        <v>1.0273768999999999</v>
      </c>
      <c r="O154" s="21">
        <v>1.006951046</v>
      </c>
      <c r="P154" s="22">
        <v>-1.8904500000000001E-2</v>
      </c>
    </row>
    <row r="155" spans="1:16">
      <c r="A155" s="15">
        <v>45883</v>
      </c>
      <c r="B155" s="16">
        <v>188.82011410000001</v>
      </c>
      <c r="C155" s="16">
        <v>728.88543700000002</v>
      </c>
      <c r="D155" s="16">
        <v>-57.964713549999999</v>
      </c>
      <c r="E155" s="16">
        <v>-60.54735325</v>
      </c>
      <c r="F155" s="16">
        <v>2.4383865359999999</v>
      </c>
      <c r="G155" s="17">
        <v>1.0591592679999999</v>
      </c>
      <c r="H155" s="18">
        <v>0</v>
      </c>
      <c r="I155" s="18">
        <v>0</v>
      </c>
      <c r="J155" s="19">
        <v>0</v>
      </c>
      <c r="K155" s="20">
        <v>0</v>
      </c>
      <c r="L155" s="19">
        <v>0</v>
      </c>
      <c r="M155" s="19">
        <v>0</v>
      </c>
      <c r="N155" s="21">
        <v>1.0273768999999999</v>
      </c>
      <c r="O155" s="21">
        <v>1.006951046</v>
      </c>
      <c r="P155" s="22">
        <v>-1.8904500000000001E-2</v>
      </c>
    </row>
    <row r="156" spans="1:16">
      <c r="A156" s="15">
        <v>45884</v>
      </c>
      <c r="B156" s="16">
        <v>189.6584015</v>
      </c>
      <c r="C156" s="16">
        <v>712.80938719999995</v>
      </c>
      <c r="D156" s="16">
        <v>-53.590166539999998</v>
      </c>
      <c r="E156" s="16">
        <v>-60.026134200000001</v>
      </c>
      <c r="F156" s="16">
        <v>3.163022797</v>
      </c>
      <c r="G156" s="17">
        <v>2.034752219</v>
      </c>
      <c r="H156" s="18">
        <v>-1</v>
      </c>
      <c r="I156" s="18">
        <v>0</v>
      </c>
      <c r="J156" s="19">
        <v>0</v>
      </c>
      <c r="K156" s="20">
        <v>0</v>
      </c>
      <c r="L156" s="19">
        <v>0</v>
      </c>
      <c r="M156" s="19">
        <v>0</v>
      </c>
      <c r="N156" s="21">
        <v>1.0273768999999999</v>
      </c>
      <c r="O156" s="21">
        <v>1.006951046</v>
      </c>
      <c r="P156" s="22">
        <v>-1.8904500000000001E-2</v>
      </c>
    </row>
    <row r="157" spans="1:16">
      <c r="A157" s="15">
        <v>45887</v>
      </c>
      <c r="B157" s="16">
        <v>189.42446899999999</v>
      </c>
      <c r="C157" s="16">
        <v>713.04357909999999</v>
      </c>
      <c r="D157" s="16">
        <v>-53.875614390000003</v>
      </c>
      <c r="E157" s="16">
        <v>-59.080001879999998</v>
      </c>
      <c r="F157" s="16">
        <v>3.1632380690000002</v>
      </c>
      <c r="G157" s="17">
        <v>1.645272147</v>
      </c>
      <c r="H157" s="18">
        <v>-1</v>
      </c>
      <c r="I157" s="18">
        <v>-1</v>
      </c>
      <c r="J157" s="19">
        <v>8.2390899999999995E-4</v>
      </c>
      <c r="K157" s="20">
        <v>1</v>
      </c>
      <c r="L157" s="19">
        <v>1E-3</v>
      </c>
      <c r="M157" s="19">
        <v>-1.7609099999999999E-4</v>
      </c>
      <c r="N157" s="21">
        <v>1.0282233649999999</v>
      </c>
      <c r="O157" s="21">
        <v>1.006773731</v>
      </c>
      <c r="P157" s="22">
        <v>-1.9077262000000001E-2</v>
      </c>
    </row>
    <row r="158" spans="1:16">
      <c r="A158" s="15">
        <v>45888</v>
      </c>
      <c r="B158" s="16">
        <v>190.99380489999999</v>
      </c>
      <c r="C158" s="16">
        <v>703.69830320000005</v>
      </c>
      <c r="D158" s="16">
        <v>-50.250591729999996</v>
      </c>
      <c r="E158" s="16">
        <v>-58.066239400000001</v>
      </c>
      <c r="F158" s="16">
        <v>3.867881476</v>
      </c>
      <c r="G158" s="17">
        <v>2.020653351</v>
      </c>
      <c r="H158" s="18">
        <v>-1</v>
      </c>
      <c r="I158" s="18">
        <v>-1</v>
      </c>
      <c r="J158" s="19">
        <v>-1.0468679999999999E-2</v>
      </c>
      <c r="K158" s="20">
        <v>0</v>
      </c>
      <c r="L158" s="19">
        <v>0</v>
      </c>
      <c r="M158" s="19">
        <v>-1.0468679999999999E-2</v>
      </c>
      <c r="N158" s="21">
        <v>1.017459224</v>
      </c>
      <c r="O158" s="21">
        <v>0.99623413900000002</v>
      </c>
      <c r="P158" s="22">
        <v>-2.9346227999999999E-2</v>
      </c>
    </row>
    <row r="159" spans="1:16">
      <c r="A159" s="15">
        <v>45889</v>
      </c>
      <c r="B159" s="16">
        <v>195.7019043</v>
      </c>
      <c r="C159" s="16">
        <v>703.01538089999997</v>
      </c>
      <c r="D159" s="16">
        <v>-45.392269470000002</v>
      </c>
      <c r="E159" s="16">
        <v>-56.505185150000003</v>
      </c>
      <c r="F159" s="16">
        <v>4.8546584189999997</v>
      </c>
      <c r="G159" s="17">
        <v>2.2891241199999999</v>
      </c>
      <c r="H159" s="18">
        <v>-1</v>
      </c>
      <c r="I159" s="18">
        <v>-1</v>
      </c>
      <c r="J159" s="19">
        <v>-1.4050050999999999E-2</v>
      </c>
      <c r="K159" s="20">
        <v>0</v>
      </c>
      <c r="L159" s="19">
        <v>0</v>
      </c>
      <c r="M159" s="19">
        <v>-1.4050050999999999E-2</v>
      </c>
      <c r="N159" s="21">
        <v>1.0031638700000001</v>
      </c>
      <c r="O159" s="21">
        <v>0.98223699900000006</v>
      </c>
      <c r="P159" s="22">
        <v>-4.2983963E-2</v>
      </c>
    </row>
    <row r="160" spans="1:16">
      <c r="A160" s="15">
        <v>45890</v>
      </c>
      <c r="B160" s="16">
        <v>195.6434021</v>
      </c>
      <c r="C160" s="16">
        <v>698.40142820000005</v>
      </c>
      <c r="D160" s="16">
        <v>-44.43583735</v>
      </c>
      <c r="E160" s="16">
        <v>-55.172867719999999</v>
      </c>
      <c r="F160" s="16">
        <v>5.7860236909999996</v>
      </c>
      <c r="G160" s="17">
        <v>1.855683789</v>
      </c>
      <c r="H160" s="18">
        <v>-1</v>
      </c>
      <c r="I160" s="18">
        <v>-1</v>
      </c>
      <c r="J160" s="19">
        <v>-2.7299749999999999E-3</v>
      </c>
      <c r="K160" s="20">
        <v>0</v>
      </c>
      <c r="L160" s="19">
        <v>0</v>
      </c>
      <c r="M160" s="19">
        <v>-2.7299749999999999E-3</v>
      </c>
      <c r="N160" s="21">
        <v>1.0004252579999999</v>
      </c>
      <c r="O160" s="21">
        <v>0.97955551699999999</v>
      </c>
      <c r="P160" s="22">
        <v>-4.5596592999999998E-2</v>
      </c>
    </row>
    <row r="161" spans="1:16">
      <c r="A161" s="15">
        <v>45891</v>
      </c>
      <c r="B161" s="16">
        <v>200.85833740000001</v>
      </c>
      <c r="C161" s="16">
        <v>723.70562740000003</v>
      </c>
      <c r="D161" s="16">
        <v>-44.787084040000003</v>
      </c>
      <c r="E161" s="16">
        <v>-53.842761590000002</v>
      </c>
      <c r="F161" s="16">
        <v>6.2070853890000004</v>
      </c>
      <c r="G161" s="17">
        <v>1.4589258860000001</v>
      </c>
      <c r="H161" s="18">
        <v>-1</v>
      </c>
      <c r="I161" s="18">
        <v>-1</v>
      </c>
      <c r="J161" s="19">
        <v>1.005656E-3</v>
      </c>
      <c r="K161" s="20">
        <v>0</v>
      </c>
      <c r="L161" s="19">
        <v>0</v>
      </c>
      <c r="M161" s="19">
        <v>1.005656E-3</v>
      </c>
      <c r="N161" s="21">
        <v>1.001431341</v>
      </c>
      <c r="O161" s="21">
        <v>0.98054061199999998</v>
      </c>
      <c r="P161" s="22">
        <v>-4.4636792000000002E-2</v>
      </c>
    </row>
    <row r="162" spans="1:16">
      <c r="A162" s="15">
        <v>45894</v>
      </c>
      <c r="B162" s="16">
        <v>200.7706451</v>
      </c>
      <c r="C162" s="16">
        <v>720.68170169999996</v>
      </c>
      <c r="D162" s="16">
        <v>-44.209601280000001</v>
      </c>
      <c r="E162" s="16">
        <v>-52.553939739999997</v>
      </c>
      <c r="F162" s="16">
        <v>6.4853094459999996</v>
      </c>
      <c r="G162" s="17">
        <v>1.286652323</v>
      </c>
      <c r="H162" s="18">
        <v>-1</v>
      </c>
      <c r="I162" s="18">
        <v>-1</v>
      </c>
      <c r="J162" s="19">
        <v>-1.6038859999999999E-3</v>
      </c>
      <c r="K162" s="20">
        <v>0</v>
      </c>
      <c r="L162" s="19">
        <v>0</v>
      </c>
      <c r="M162" s="19">
        <v>-1.6038859999999999E-3</v>
      </c>
      <c r="N162" s="21">
        <v>0.99982515999999999</v>
      </c>
      <c r="O162" s="21">
        <v>0.97896793800000004</v>
      </c>
      <c r="P162" s="22">
        <v>-4.6169084999999999E-2</v>
      </c>
    </row>
    <row r="163" spans="1:16">
      <c r="A163" s="15">
        <v>45895</v>
      </c>
      <c r="B163" s="16">
        <v>200.78036499999999</v>
      </c>
      <c r="C163" s="16">
        <v>730.59252930000002</v>
      </c>
      <c r="D163" s="16">
        <v>-46.379972960000003</v>
      </c>
      <c r="E163" s="16">
        <v>-51.525032070000002</v>
      </c>
      <c r="F163" s="16">
        <v>6.3957419939999998</v>
      </c>
      <c r="G163" s="17">
        <v>0.80445069899999999</v>
      </c>
      <c r="H163" s="18">
        <v>-1</v>
      </c>
      <c r="I163" s="18">
        <v>-1</v>
      </c>
      <c r="J163" s="19">
        <v>6.040564E-3</v>
      </c>
      <c r="K163" s="20">
        <v>0</v>
      </c>
      <c r="L163" s="19">
        <v>0</v>
      </c>
      <c r="M163" s="19">
        <v>6.040564E-3</v>
      </c>
      <c r="N163" s="21">
        <v>1.0058646680000001</v>
      </c>
      <c r="O163" s="21">
        <v>0.98488145599999999</v>
      </c>
      <c r="P163" s="22">
        <v>-4.0407407999999999E-2</v>
      </c>
    </row>
    <row r="164" spans="1:16">
      <c r="A164" s="15">
        <v>45896</v>
      </c>
      <c r="B164" s="16">
        <v>200.28323359999999</v>
      </c>
      <c r="C164" s="16">
        <v>731.29486080000004</v>
      </c>
      <c r="D164" s="16">
        <v>-47.031596649999997</v>
      </c>
      <c r="E164" s="16">
        <v>-50.301609939999999</v>
      </c>
      <c r="F164" s="16">
        <v>5.6278745030000001</v>
      </c>
      <c r="G164" s="17">
        <v>0.58103877199999998</v>
      </c>
      <c r="H164" s="18">
        <v>-1</v>
      </c>
      <c r="I164" s="18">
        <v>-1</v>
      </c>
      <c r="J164" s="19">
        <v>1.8026089999999999E-3</v>
      </c>
      <c r="K164" s="20">
        <v>0</v>
      </c>
      <c r="L164" s="19">
        <v>0</v>
      </c>
      <c r="M164" s="19">
        <v>1.8026089999999999E-3</v>
      </c>
      <c r="N164" s="21">
        <v>1.0076778479999999</v>
      </c>
      <c r="O164" s="21">
        <v>0.98665681199999999</v>
      </c>
      <c r="P164" s="22">
        <v>-3.8677638E-2</v>
      </c>
    </row>
    <row r="165" spans="1:16">
      <c r="A165" s="15">
        <v>45897</v>
      </c>
      <c r="B165" s="16">
        <v>198.9380798</v>
      </c>
      <c r="C165" s="16">
        <v>732.80694579999999</v>
      </c>
      <c r="D165" s="16">
        <v>-48.709364819999998</v>
      </c>
      <c r="E165" s="16">
        <v>-49.538528159999998</v>
      </c>
      <c r="F165" s="16">
        <v>5.1054798479999999</v>
      </c>
      <c r="G165" s="17">
        <v>0.16240654299999999</v>
      </c>
      <c r="H165" s="18">
        <v>0</v>
      </c>
      <c r="I165" s="18">
        <v>-1</v>
      </c>
      <c r="J165" s="19">
        <v>4.6456700000000002E-3</v>
      </c>
      <c r="K165" s="20">
        <v>0</v>
      </c>
      <c r="L165" s="19">
        <v>0</v>
      </c>
      <c r="M165" s="19">
        <v>4.6456700000000002E-3</v>
      </c>
      <c r="N165" s="21">
        <v>1.0123591869999999</v>
      </c>
      <c r="O165" s="21">
        <v>0.99124049400000003</v>
      </c>
      <c r="P165" s="22">
        <v>-3.4211652000000002E-2</v>
      </c>
    </row>
    <row r="166" spans="1:16">
      <c r="A166" s="15">
        <v>45898</v>
      </c>
      <c r="B166" s="16">
        <v>197.3687286</v>
      </c>
      <c r="C166" s="16">
        <v>730.87493900000004</v>
      </c>
      <c r="D166" s="16">
        <v>-49.853731160000002</v>
      </c>
      <c r="E166" s="16">
        <v>-48.87337866</v>
      </c>
      <c r="F166" s="16">
        <v>4.3970576729999999</v>
      </c>
      <c r="G166" s="17">
        <v>-0.22295647800000001</v>
      </c>
      <c r="H166" s="18">
        <v>0</v>
      </c>
      <c r="I166" s="18">
        <v>0</v>
      </c>
      <c r="J166" s="19">
        <v>0</v>
      </c>
      <c r="K166" s="20">
        <v>1</v>
      </c>
      <c r="L166" s="19">
        <v>1E-3</v>
      </c>
      <c r="M166" s="19">
        <v>-1E-3</v>
      </c>
      <c r="N166" s="21">
        <v>1.0123591869999999</v>
      </c>
      <c r="O166" s="21">
        <v>0.990249253</v>
      </c>
      <c r="P166" s="22">
        <v>-3.5177439999999997E-2</v>
      </c>
    </row>
    <row r="167" spans="1:16">
      <c r="A167" s="15">
        <v>45902</v>
      </c>
      <c r="B167" s="16">
        <v>194.76612850000001</v>
      </c>
      <c r="C167" s="16">
        <v>716.75268549999998</v>
      </c>
      <c r="D167" s="16">
        <v>-49.349849519999999</v>
      </c>
      <c r="E167" s="16">
        <v>-48.15547333</v>
      </c>
      <c r="F167" s="16">
        <v>3.3583718390000001</v>
      </c>
      <c r="G167" s="17">
        <v>-0.35564143999999998</v>
      </c>
      <c r="H167" s="18">
        <v>0</v>
      </c>
      <c r="I167" s="18">
        <v>0</v>
      </c>
      <c r="J167" s="19">
        <v>0</v>
      </c>
      <c r="K167" s="20">
        <v>0</v>
      </c>
      <c r="L167" s="19">
        <v>0</v>
      </c>
      <c r="M167" s="19">
        <v>0</v>
      </c>
      <c r="N167" s="21">
        <v>1.0123591869999999</v>
      </c>
      <c r="O167" s="21">
        <v>0.990249253</v>
      </c>
      <c r="P167" s="22">
        <v>-3.5177439999999997E-2</v>
      </c>
    </row>
    <row r="168" spans="1:16">
      <c r="A168" s="15">
        <v>45903</v>
      </c>
      <c r="B168" s="16">
        <v>190.79887389999999</v>
      </c>
      <c r="C168" s="16">
        <v>716.46826169999997</v>
      </c>
      <c r="D168" s="16">
        <v>-53.254539260000001</v>
      </c>
      <c r="E168" s="16">
        <v>-48.127504389999999</v>
      </c>
      <c r="F168" s="16">
        <v>3.310046297</v>
      </c>
      <c r="G168" s="17">
        <v>-1.5489314679999999</v>
      </c>
      <c r="H168" s="18">
        <v>0</v>
      </c>
      <c r="I168" s="18">
        <v>0</v>
      </c>
      <c r="J168" s="19">
        <v>0</v>
      </c>
      <c r="K168" s="20">
        <v>0</v>
      </c>
      <c r="L168" s="19">
        <v>0</v>
      </c>
      <c r="M168" s="19">
        <v>0</v>
      </c>
      <c r="N168" s="21">
        <v>1.0123591869999999</v>
      </c>
      <c r="O168" s="21">
        <v>0.990249253</v>
      </c>
      <c r="P168" s="22">
        <v>-3.5177439999999997E-2</v>
      </c>
    </row>
    <row r="169" spans="1:16">
      <c r="A169" s="15">
        <v>45904</v>
      </c>
      <c r="B169" s="16">
        <v>182.56216430000001</v>
      </c>
      <c r="C169" s="16">
        <v>734.45446779999997</v>
      </c>
      <c r="D169" s="16">
        <v>-65.447686880000006</v>
      </c>
      <c r="E169" s="16">
        <v>-49.091843760000003</v>
      </c>
      <c r="F169" s="16">
        <v>5.8489239059999996</v>
      </c>
      <c r="G169" s="17">
        <v>-2.7963850080000001</v>
      </c>
      <c r="H169" s="18">
        <v>1</v>
      </c>
      <c r="I169" s="18">
        <v>0</v>
      </c>
      <c r="J169" s="19">
        <v>0</v>
      </c>
      <c r="K169" s="20">
        <v>0</v>
      </c>
      <c r="L169" s="19">
        <v>0</v>
      </c>
      <c r="M169" s="19">
        <v>0</v>
      </c>
      <c r="N169" s="21">
        <v>1.0123591869999999</v>
      </c>
      <c r="O169" s="21">
        <v>0.990249253</v>
      </c>
      <c r="P169" s="22">
        <v>-3.5177439999999997E-2</v>
      </c>
    </row>
    <row r="170" spans="1:16">
      <c r="A170" s="15">
        <v>45905</v>
      </c>
      <c r="B170" s="16">
        <v>183.18600459999999</v>
      </c>
      <c r="C170" s="16">
        <v>723.97076419999996</v>
      </c>
      <c r="D170" s="16">
        <v>-62.517739110000001</v>
      </c>
      <c r="E170" s="16">
        <v>-50.114106040000003</v>
      </c>
      <c r="F170" s="16">
        <v>7.0238602849999996</v>
      </c>
      <c r="G170" s="17">
        <v>-1.7659282160000001</v>
      </c>
      <c r="H170" s="18">
        <v>1</v>
      </c>
      <c r="I170" s="18">
        <v>1</v>
      </c>
      <c r="J170" s="19">
        <v>8.5143049999999998E-3</v>
      </c>
      <c r="K170" s="20">
        <v>1</v>
      </c>
      <c r="L170" s="19">
        <v>1E-3</v>
      </c>
      <c r="M170" s="19">
        <v>7.5143049999999998E-3</v>
      </c>
      <c r="N170" s="21">
        <v>1.0209787219999999</v>
      </c>
      <c r="O170" s="21">
        <v>0.99769028800000004</v>
      </c>
      <c r="P170" s="22">
        <v>-2.7927469E-2</v>
      </c>
    </row>
    <row r="171" spans="1:16">
      <c r="A171" s="15">
        <v>45908</v>
      </c>
      <c r="B171" s="16">
        <v>181.12927250000001</v>
      </c>
      <c r="C171" s="16">
        <v>727.54046630000005</v>
      </c>
      <c r="D171" s="16">
        <v>-65.359701099999995</v>
      </c>
      <c r="E171" s="16">
        <v>-51.778058680000001</v>
      </c>
      <c r="F171" s="16">
        <v>8.0880850300000002</v>
      </c>
      <c r="G171" s="17">
        <v>-1.6792160780000001</v>
      </c>
      <c r="H171" s="18">
        <v>1</v>
      </c>
      <c r="I171" s="18">
        <v>1</v>
      </c>
      <c r="J171" s="19">
        <v>-8.2991929999999998E-3</v>
      </c>
      <c r="K171" s="20">
        <v>0</v>
      </c>
      <c r="L171" s="19">
        <v>0</v>
      </c>
      <c r="M171" s="19">
        <v>-8.2991929999999998E-3</v>
      </c>
      <c r="N171" s="21">
        <v>1.012505422</v>
      </c>
      <c r="O171" s="21">
        <v>0.98941026399999998</v>
      </c>
      <c r="P171" s="22">
        <v>-3.5994887000000003E-2</v>
      </c>
    </row>
    <row r="172" spans="1:16">
      <c r="A172" s="15">
        <v>45909</v>
      </c>
      <c r="B172" s="16">
        <v>180.35923769999999</v>
      </c>
      <c r="C172" s="16">
        <v>749.18475339999998</v>
      </c>
      <c r="D172" s="16">
        <v>-70.890844520000002</v>
      </c>
      <c r="E172" s="16">
        <v>-53.982642609999999</v>
      </c>
      <c r="F172" s="16">
        <v>9.4033668959999996</v>
      </c>
      <c r="G172" s="17">
        <v>-1.798100839</v>
      </c>
      <c r="H172" s="18">
        <v>1</v>
      </c>
      <c r="I172" s="18">
        <v>1</v>
      </c>
      <c r="J172" s="19">
        <v>-1.6212429E-2</v>
      </c>
      <c r="K172" s="20">
        <v>0</v>
      </c>
      <c r="L172" s="19">
        <v>0</v>
      </c>
      <c r="M172" s="19">
        <v>-1.6212429E-2</v>
      </c>
      <c r="N172" s="21">
        <v>0.99609024899999998</v>
      </c>
      <c r="O172" s="21">
        <v>0.97336951900000002</v>
      </c>
      <c r="P172" s="22">
        <v>-5.1623752000000002E-2</v>
      </c>
    </row>
    <row r="173" spans="1:16">
      <c r="A173" s="15">
        <v>45910</v>
      </c>
      <c r="B173" s="16">
        <v>179.36494450000001</v>
      </c>
      <c r="C173" s="16">
        <v>754.73565670000005</v>
      </c>
      <c r="D173" s="16">
        <v>-73.106173720000001</v>
      </c>
      <c r="E173" s="16">
        <v>-56.342566750000003</v>
      </c>
      <c r="F173" s="16">
        <v>10.38782784</v>
      </c>
      <c r="G173" s="17">
        <v>-1.6137740469999999</v>
      </c>
      <c r="H173" s="18">
        <v>1</v>
      </c>
      <c r="I173" s="18">
        <v>1</v>
      </c>
      <c r="J173" s="19">
        <v>-6.4183060000000004E-3</v>
      </c>
      <c r="K173" s="20">
        <v>0</v>
      </c>
      <c r="L173" s="19">
        <v>0</v>
      </c>
      <c r="M173" s="19">
        <v>-6.4183060000000004E-3</v>
      </c>
      <c r="N173" s="21">
        <v>0.989697037</v>
      </c>
      <c r="O173" s="21">
        <v>0.96712213599999997</v>
      </c>
      <c r="P173" s="22">
        <v>-5.7710721E-2</v>
      </c>
    </row>
    <row r="174" spans="1:16">
      <c r="A174" s="15">
        <v>45911</v>
      </c>
      <c r="B174" s="16">
        <v>179.6963959</v>
      </c>
      <c r="C174" s="16">
        <v>769.59338379999997</v>
      </c>
      <c r="D174" s="16">
        <v>-76.042986679999999</v>
      </c>
      <c r="E174" s="16">
        <v>-58.99534886</v>
      </c>
      <c r="F174" s="16">
        <v>11.051233160000001</v>
      </c>
      <c r="G174" s="17">
        <v>-1.5426005</v>
      </c>
      <c r="H174" s="18">
        <v>1</v>
      </c>
      <c r="I174" s="18">
        <v>1</v>
      </c>
      <c r="J174" s="19">
        <v>-8.5030209999999995E-3</v>
      </c>
      <c r="K174" s="20">
        <v>0</v>
      </c>
      <c r="L174" s="19">
        <v>0</v>
      </c>
      <c r="M174" s="19">
        <v>-8.5030209999999995E-3</v>
      </c>
      <c r="N174" s="21">
        <v>0.98128162299999999</v>
      </c>
      <c r="O174" s="21">
        <v>0.95889867600000001</v>
      </c>
      <c r="P174" s="22">
        <v>-6.5723026000000004E-2</v>
      </c>
    </row>
    <row r="175" spans="1:16">
      <c r="A175" s="15">
        <v>45912</v>
      </c>
      <c r="B175" s="16">
        <v>177.99057010000001</v>
      </c>
      <c r="C175" s="16">
        <v>765.0134888</v>
      </c>
      <c r="D175" s="16">
        <v>-76.741369849999998</v>
      </c>
      <c r="E175" s="16">
        <v>-61.525465269999998</v>
      </c>
      <c r="F175" s="16">
        <v>11.37134749</v>
      </c>
      <c r="G175" s="17">
        <v>-1.3380916009999999</v>
      </c>
      <c r="H175" s="18">
        <v>1</v>
      </c>
      <c r="I175" s="18">
        <v>1</v>
      </c>
      <c r="J175" s="19">
        <v>-2.0011870000000002E-3</v>
      </c>
      <c r="K175" s="20">
        <v>0</v>
      </c>
      <c r="L175" s="19">
        <v>0</v>
      </c>
      <c r="M175" s="19">
        <v>-2.0011870000000002E-3</v>
      </c>
      <c r="N175" s="21">
        <v>0.97931789400000002</v>
      </c>
      <c r="O175" s="21">
        <v>0.95697973999999997</v>
      </c>
      <c r="P175" s="22">
        <v>-6.7592689999999997E-2</v>
      </c>
    </row>
    <row r="176" spans="1:16">
      <c r="A176" s="15">
        <v>45915</v>
      </c>
      <c r="B176" s="16">
        <v>173.70164489999999</v>
      </c>
      <c r="C176" s="16">
        <v>771.58428960000003</v>
      </c>
      <c r="D176" s="16">
        <v>-82.475678549999998</v>
      </c>
      <c r="E176" s="16">
        <v>-64.479138759999998</v>
      </c>
      <c r="F176" s="16">
        <v>11.857226199999999</v>
      </c>
      <c r="G176" s="17">
        <v>-1.517769795</v>
      </c>
      <c r="H176" s="18">
        <v>1</v>
      </c>
      <c r="I176" s="18">
        <v>1</v>
      </c>
      <c r="J176" s="19">
        <v>-1.6560170999999999E-2</v>
      </c>
      <c r="K176" s="20">
        <v>0</v>
      </c>
      <c r="L176" s="19">
        <v>0</v>
      </c>
      <c r="M176" s="19">
        <v>-1.6560170999999999E-2</v>
      </c>
      <c r="N176" s="21">
        <v>0.96310022299999998</v>
      </c>
      <c r="O176" s="21">
        <v>0.94113199199999997</v>
      </c>
      <c r="P176" s="22">
        <v>-8.3033514000000003E-2</v>
      </c>
    </row>
    <row r="177" spans="1:16">
      <c r="A177" s="15">
        <v>45916</v>
      </c>
      <c r="B177" s="16">
        <v>173.1460266</v>
      </c>
      <c r="C177" s="16">
        <v>770.37805179999998</v>
      </c>
      <c r="D177" s="16">
        <v>-82.765959890000005</v>
      </c>
      <c r="E177" s="16">
        <v>-67.317188349999995</v>
      </c>
      <c r="F177" s="16">
        <v>11.815243219999999</v>
      </c>
      <c r="G177" s="17">
        <v>-1.3075288629999999</v>
      </c>
      <c r="H177" s="18">
        <v>1</v>
      </c>
      <c r="I177" s="18">
        <v>1</v>
      </c>
      <c r="J177" s="19">
        <v>-8.4524800000000005E-4</v>
      </c>
      <c r="K177" s="20">
        <v>0</v>
      </c>
      <c r="L177" s="19">
        <v>0</v>
      </c>
      <c r="M177" s="19">
        <v>-8.4524800000000005E-4</v>
      </c>
      <c r="N177" s="21">
        <v>0.962286164</v>
      </c>
      <c r="O177" s="21">
        <v>0.94033650300000005</v>
      </c>
      <c r="P177" s="22">
        <v>-8.3808577999999995E-2</v>
      </c>
    </row>
    <row r="178" spans="1:16">
      <c r="A178" s="15">
        <v>45917</v>
      </c>
      <c r="B178" s="16">
        <v>175.74862669999999</v>
      </c>
      <c r="C178" s="16">
        <v>778.90032959999996</v>
      </c>
      <c r="D178" s="16">
        <v>-82.038011069999996</v>
      </c>
      <c r="E178" s="16">
        <v>-69.999211680000002</v>
      </c>
      <c r="F178" s="16">
        <v>11.12332108</v>
      </c>
      <c r="G178" s="17">
        <v>-1.082302605</v>
      </c>
      <c r="H178" s="18">
        <v>1</v>
      </c>
      <c r="I178" s="18">
        <v>1</v>
      </c>
      <c r="J178" s="19">
        <v>2.1247369999999998E-3</v>
      </c>
      <c r="K178" s="20">
        <v>0</v>
      </c>
      <c r="L178" s="19">
        <v>0</v>
      </c>
      <c r="M178" s="19">
        <v>2.1247369999999998E-3</v>
      </c>
      <c r="N178" s="21">
        <v>0.96433076900000003</v>
      </c>
      <c r="O178" s="21">
        <v>0.94233447000000004</v>
      </c>
      <c r="P178" s="22">
        <v>-8.1861911999999995E-2</v>
      </c>
    </row>
    <row r="179" spans="1:16">
      <c r="A179" s="15">
        <v>45918</v>
      </c>
      <c r="B179" s="16">
        <v>177.03529359999999</v>
      </c>
      <c r="C179" s="16">
        <v>788.79571529999998</v>
      </c>
      <c r="D179" s="16">
        <v>-82.928038959999995</v>
      </c>
      <c r="E179" s="16">
        <v>-72.797394130000001</v>
      </c>
      <c r="F179" s="16">
        <v>9.5717933550000005</v>
      </c>
      <c r="G179" s="17">
        <v>-1.0583852419999999</v>
      </c>
      <c r="H179" s="18">
        <v>1</v>
      </c>
      <c r="I179" s="18">
        <v>1</v>
      </c>
      <c r="J179" s="19">
        <v>-2.5643020000000001E-3</v>
      </c>
      <c r="K179" s="20">
        <v>0</v>
      </c>
      <c r="L179" s="19">
        <v>0</v>
      </c>
      <c r="M179" s="19">
        <v>-2.5643020000000001E-3</v>
      </c>
      <c r="N179" s="21">
        <v>0.96185793399999997</v>
      </c>
      <c r="O179" s="21">
        <v>0.93991804000000001</v>
      </c>
      <c r="P179" s="22">
        <v>-8.4216295999999996E-2</v>
      </c>
    </row>
    <row r="180" spans="1:16">
      <c r="A180" s="15">
        <v>45919</v>
      </c>
      <c r="B180" s="16">
        <v>174.84210210000001</v>
      </c>
      <c r="C180" s="16">
        <v>789.47241210000004</v>
      </c>
      <c r="D180" s="16">
        <v>-85.270083940000006</v>
      </c>
      <c r="E180" s="16">
        <v>-75.465356189999994</v>
      </c>
      <c r="F180" s="16">
        <v>7.9546445229999998</v>
      </c>
      <c r="G180" s="17">
        <v>-1.2325789949999999</v>
      </c>
      <c r="H180" s="18">
        <v>1</v>
      </c>
      <c r="I180" s="18">
        <v>1</v>
      </c>
      <c r="J180" s="19">
        <v>-6.681111E-3</v>
      </c>
      <c r="K180" s="20">
        <v>0</v>
      </c>
      <c r="L180" s="19">
        <v>0</v>
      </c>
      <c r="M180" s="19">
        <v>-6.681111E-3</v>
      </c>
      <c r="N180" s="21">
        <v>0.95543165399999996</v>
      </c>
      <c r="O180" s="21">
        <v>0.93363834300000004</v>
      </c>
      <c r="P180" s="22">
        <v>-9.0334748000000006E-2</v>
      </c>
    </row>
    <row r="181" spans="1:16">
      <c r="A181" s="15">
        <v>45922</v>
      </c>
      <c r="B181" s="16">
        <v>175.08576969999999</v>
      </c>
      <c r="C181" s="16">
        <v>790.0216064</v>
      </c>
      <c r="D181" s="16">
        <v>-85.147222990000003</v>
      </c>
      <c r="E181" s="16">
        <v>-77.106984199999999</v>
      </c>
      <c r="F181" s="16">
        <v>7.7288456190000003</v>
      </c>
      <c r="G181" s="17">
        <v>-1.0402897390000001</v>
      </c>
      <c r="H181" s="18">
        <v>1</v>
      </c>
      <c r="I181" s="18">
        <v>1</v>
      </c>
      <c r="J181" s="19">
        <v>3.5253900000000002E-4</v>
      </c>
      <c r="K181" s="20">
        <v>0</v>
      </c>
      <c r="L181" s="19">
        <v>0</v>
      </c>
      <c r="M181" s="19">
        <v>3.5253900000000002E-4</v>
      </c>
      <c r="N181" s="21">
        <v>0.955768481</v>
      </c>
      <c r="O181" s="21">
        <v>0.93396748699999999</v>
      </c>
      <c r="P181" s="22">
        <v>-9.0014055999999995E-2</v>
      </c>
    </row>
    <row r="182" spans="1:16">
      <c r="A182" s="15">
        <v>45923</v>
      </c>
      <c r="B182" s="16">
        <v>177.4447021</v>
      </c>
      <c r="C182" s="16">
        <v>790.76696779999997</v>
      </c>
      <c r="D182" s="16">
        <v>-82.952248130000001</v>
      </c>
      <c r="E182" s="16">
        <v>-78.809859950000003</v>
      </c>
      <c r="F182" s="16">
        <v>6.350441709</v>
      </c>
      <c r="G182" s="17">
        <v>-0.65229922200000001</v>
      </c>
      <c r="H182" s="18">
        <v>1</v>
      </c>
      <c r="I182" s="18">
        <v>1</v>
      </c>
      <c r="J182" s="19">
        <v>6.2917169999999996E-3</v>
      </c>
      <c r="K182" s="20">
        <v>0</v>
      </c>
      <c r="L182" s="19">
        <v>0</v>
      </c>
      <c r="M182" s="19">
        <v>6.2917169999999996E-3</v>
      </c>
      <c r="N182" s="21">
        <v>0.96178190600000002</v>
      </c>
      <c r="O182" s="21">
        <v>0.93984374699999995</v>
      </c>
      <c r="P182" s="22">
        <v>-8.4288681000000004E-2</v>
      </c>
    </row>
    <row r="183" spans="1:16">
      <c r="A183" s="15">
        <v>45924</v>
      </c>
      <c r="B183" s="16">
        <v>179.7841339</v>
      </c>
      <c r="C183" s="16">
        <v>777.14489749999996</v>
      </c>
      <c r="D183" s="16">
        <v>-77.616360259999993</v>
      </c>
      <c r="E183" s="16">
        <v>-79.831248209999998</v>
      </c>
      <c r="F183" s="16">
        <v>4.7826207119999999</v>
      </c>
      <c r="G183" s="17">
        <v>0.46311177199999998</v>
      </c>
      <c r="H183" s="18">
        <v>0</v>
      </c>
      <c r="I183" s="18">
        <v>1</v>
      </c>
      <c r="J183" s="19">
        <v>1.5185077E-2</v>
      </c>
      <c r="K183" s="20">
        <v>0</v>
      </c>
      <c r="L183" s="19">
        <v>0</v>
      </c>
      <c r="M183" s="19">
        <v>1.5185077E-2</v>
      </c>
      <c r="N183" s="21">
        <v>0.97638663800000003</v>
      </c>
      <c r="O183" s="21">
        <v>0.95411534600000003</v>
      </c>
      <c r="P183" s="22">
        <v>-7.0383534999999997E-2</v>
      </c>
    </row>
    <row r="184" spans="1:16">
      <c r="A184" s="15">
        <v>45925</v>
      </c>
      <c r="B184" s="16">
        <v>177.4447021</v>
      </c>
      <c r="C184" s="16">
        <v>779.42993160000003</v>
      </c>
      <c r="D184" s="16">
        <v>-80.458432549999998</v>
      </c>
      <c r="E184" s="16">
        <v>-80.628547209999994</v>
      </c>
      <c r="F184" s="16">
        <v>3.8664334419999999</v>
      </c>
      <c r="G184" s="17">
        <v>4.3997824999999997E-2</v>
      </c>
      <c r="H184" s="18">
        <v>0</v>
      </c>
      <c r="I184" s="18">
        <v>0</v>
      </c>
      <c r="J184" s="19">
        <v>0</v>
      </c>
      <c r="K184" s="20">
        <v>1</v>
      </c>
      <c r="L184" s="19">
        <v>1E-3</v>
      </c>
      <c r="M184" s="19">
        <v>-1E-3</v>
      </c>
      <c r="N184" s="21">
        <v>0.97638663800000003</v>
      </c>
      <c r="O184" s="21">
        <v>0.95316123100000005</v>
      </c>
      <c r="P184" s="22">
        <v>-7.1313151000000005E-2</v>
      </c>
    </row>
    <row r="185" spans="1:16">
      <c r="A185" s="15">
        <v>45926</v>
      </c>
      <c r="B185" s="16">
        <v>179.8913574</v>
      </c>
      <c r="C185" s="16">
        <v>787.03051760000005</v>
      </c>
      <c r="D185" s="16">
        <v>-79.683683360000003</v>
      </c>
      <c r="E185" s="16">
        <v>-81.176673019999996</v>
      </c>
      <c r="F185" s="16">
        <v>3.0916859940000001</v>
      </c>
      <c r="G185" s="17">
        <v>0.48290468800000003</v>
      </c>
      <c r="H185" s="18">
        <v>0</v>
      </c>
      <c r="I185" s="18">
        <v>0</v>
      </c>
      <c r="J185" s="19">
        <v>0</v>
      </c>
      <c r="K185" s="20">
        <v>0</v>
      </c>
      <c r="L185" s="19">
        <v>0</v>
      </c>
      <c r="M185" s="19">
        <v>0</v>
      </c>
      <c r="N185" s="21">
        <v>0.97638663800000003</v>
      </c>
      <c r="O185" s="21">
        <v>0.95316123100000005</v>
      </c>
      <c r="P185" s="22">
        <v>-7.1313151000000005E-2</v>
      </c>
    </row>
    <row r="186" spans="1:16">
      <c r="A186" s="15">
        <v>45929</v>
      </c>
      <c r="B186" s="16">
        <v>178.60464479999999</v>
      </c>
      <c r="C186" s="16">
        <v>788.609375</v>
      </c>
      <c r="D186" s="16">
        <v>-81.317698350000001</v>
      </c>
      <c r="E186" s="16">
        <v>-81.616232319999995</v>
      </c>
      <c r="F186" s="16">
        <v>2.636980871</v>
      </c>
      <c r="G186" s="17">
        <v>0.113210519</v>
      </c>
      <c r="H186" s="18">
        <v>0</v>
      </c>
      <c r="I186" s="18">
        <v>0</v>
      </c>
      <c r="J186" s="19">
        <v>0</v>
      </c>
      <c r="K186" s="20">
        <v>0</v>
      </c>
      <c r="L186" s="19">
        <v>0</v>
      </c>
      <c r="M186" s="19">
        <v>0</v>
      </c>
      <c r="N186" s="21">
        <v>0.97638663800000003</v>
      </c>
      <c r="O186" s="21">
        <v>0.95316123100000005</v>
      </c>
      <c r="P186" s="22">
        <v>-7.1313151000000005E-2</v>
      </c>
    </row>
    <row r="187" spans="1:16">
      <c r="A187" s="15">
        <v>45930</v>
      </c>
      <c r="B187" s="16">
        <v>179.09202579999999</v>
      </c>
      <c r="C187" s="16">
        <v>780.98919679999995</v>
      </c>
      <c r="D187" s="16">
        <v>-79.154101560000001</v>
      </c>
      <c r="E187" s="16">
        <v>-81.817293300000003</v>
      </c>
      <c r="F187" s="16">
        <v>2.3022330420000001</v>
      </c>
      <c r="G187" s="17">
        <v>1.1567863430000001</v>
      </c>
      <c r="H187" s="18">
        <v>0</v>
      </c>
      <c r="I187" s="18">
        <v>0</v>
      </c>
      <c r="J187" s="19">
        <v>0</v>
      </c>
      <c r="K187" s="20">
        <v>0</v>
      </c>
      <c r="L187" s="19">
        <v>0</v>
      </c>
      <c r="M187" s="19">
        <v>0</v>
      </c>
      <c r="N187" s="21">
        <v>0.97638663800000003</v>
      </c>
      <c r="O187" s="21">
        <v>0.95316123100000005</v>
      </c>
      <c r="P187" s="22">
        <v>-7.1313151000000005E-2</v>
      </c>
    </row>
    <row r="188" spans="1:16">
      <c r="A188" s="15">
        <v>45931</v>
      </c>
      <c r="B188" s="16">
        <v>175.83634950000001</v>
      </c>
      <c r="C188" s="16">
        <v>770.35833739999998</v>
      </c>
      <c r="D188" s="16">
        <v>-80.071300429999994</v>
      </c>
      <c r="E188" s="16">
        <v>-81.616928459999997</v>
      </c>
      <c r="F188" s="16">
        <v>2.343973198</v>
      </c>
      <c r="G188" s="17">
        <v>0.65940516199999999</v>
      </c>
      <c r="H188" s="18">
        <v>0</v>
      </c>
      <c r="I188" s="18">
        <v>0</v>
      </c>
      <c r="J188" s="19">
        <v>0</v>
      </c>
      <c r="K188" s="20">
        <v>0</v>
      </c>
      <c r="L188" s="19">
        <v>0</v>
      </c>
      <c r="M188" s="19">
        <v>0</v>
      </c>
      <c r="N188" s="21">
        <v>0.97638663800000003</v>
      </c>
      <c r="O188" s="21">
        <v>0.95316123100000005</v>
      </c>
      <c r="P188" s="22">
        <v>-7.1313151000000005E-2</v>
      </c>
    </row>
    <row r="189" spans="1:16">
      <c r="A189" s="15">
        <v>45932</v>
      </c>
      <c r="B189" s="16">
        <v>177.71765139999999</v>
      </c>
      <c r="C189" s="16">
        <v>764.34661870000002</v>
      </c>
      <c r="D189" s="16">
        <v>-76.867596669999998</v>
      </c>
      <c r="E189" s="16">
        <v>-81.125398189999999</v>
      </c>
      <c r="F189" s="16">
        <v>2.676037929</v>
      </c>
      <c r="G189" s="17">
        <v>1.5910841440000001</v>
      </c>
      <c r="H189" s="18">
        <v>0</v>
      </c>
      <c r="I189" s="18">
        <v>0</v>
      </c>
      <c r="J189" s="19">
        <v>0</v>
      </c>
      <c r="K189" s="20">
        <v>0</v>
      </c>
      <c r="L189" s="19">
        <v>0</v>
      </c>
      <c r="M189" s="19">
        <v>0</v>
      </c>
      <c r="N189" s="21">
        <v>0.97638663800000003</v>
      </c>
      <c r="O189" s="21">
        <v>0.95316123100000005</v>
      </c>
      <c r="P189" s="22">
        <v>-7.1313151000000005E-2</v>
      </c>
    </row>
    <row r="190" spans="1:16">
      <c r="A190" s="15">
        <v>45933</v>
      </c>
      <c r="B190" s="16">
        <v>175.7681274</v>
      </c>
      <c r="C190" s="16">
        <v>774.74212650000004</v>
      </c>
      <c r="D190" s="16">
        <v>-81.103827550000005</v>
      </c>
      <c r="E190" s="16">
        <v>-81.047549559999993</v>
      </c>
      <c r="F190" s="16">
        <v>2.6606193249999999</v>
      </c>
      <c r="G190" s="17">
        <v>-2.1152213999999999E-2</v>
      </c>
      <c r="H190" s="18">
        <v>0</v>
      </c>
      <c r="I190" s="18">
        <v>0</v>
      </c>
      <c r="J190" s="19">
        <v>0</v>
      </c>
      <c r="K190" s="20">
        <v>0</v>
      </c>
      <c r="L190" s="19">
        <v>0</v>
      </c>
      <c r="M190" s="19">
        <v>0</v>
      </c>
      <c r="N190" s="21">
        <v>0.97638663800000003</v>
      </c>
      <c r="O190" s="21">
        <v>0.95316123100000005</v>
      </c>
      <c r="P190" s="22">
        <v>-7.1313151000000005E-2</v>
      </c>
    </row>
    <row r="191" spans="1:16">
      <c r="A191" s="15">
        <v>45936</v>
      </c>
      <c r="B191" s="16">
        <v>177.22048950000001</v>
      </c>
      <c r="C191" s="16">
        <v>781.41107179999995</v>
      </c>
      <c r="D191" s="16">
        <v>-81.118437950000001</v>
      </c>
      <c r="E191" s="16">
        <v>-80.896749479999997</v>
      </c>
      <c r="F191" s="16">
        <v>2.5948155289999999</v>
      </c>
      <c r="G191" s="17">
        <v>-8.5435155999999998E-2</v>
      </c>
      <c r="H191" s="18">
        <v>0</v>
      </c>
      <c r="I191" s="18">
        <v>0</v>
      </c>
      <c r="J191" s="19">
        <v>0</v>
      </c>
      <c r="K191" s="20">
        <v>0</v>
      </c>
      <c r="L191" s="19">
        <v>0</v>
      </c>
      <c r="M191" s="19">
        <v>0</v>
      </c>
      <c r="N191" s="21">
        <v>0.97638663800000003</v>
      </c>
      <c r="O191" s="21">
        <v>0.95316123100000005</v>
      </c>
      <c r="P191" s="22">
        <v>-7.1313151000000005E-2</v>
      </c>
    </row>
    <row r="192" spans="1:16">
      <c r="A192" s="15">
        <v>45937</v>
      </c>
      <c r="B192" s="16">
        <v>172.580658</v>
      </c>
      <c r="C192" s="16">
        <v>774.41851810000003</v>
      </c>
      <c r="D192" s="16">
        <v>-84.220112670000006</v>
      </c>
      <c r="E192" s="16">
        <v>-80.809251869999997</v>
      </c>
      <c r="F192" s="16">
        <v>2.4474580989999999</v>
      </c>
      <c r="G192" s="17">
        <v>-1.393633992</v>
      </c>
      <c r="H192" s="18">
        <v>0</v>
      </c>
      <c r="I192" s="18">
        <v>0</v>
      </c>
      <c r="J192" s="19">
        <v>0</v>
      </c>
      <c r="K192" s="20">
        <v>0</v>
      </c>
      <c r="L192" s="19">
        <v>0</v>
      </c>
      <c r="M192" s="19">
        <v>0</v>
      </c>
      <c r="N192" s="21">
        <v>0.97638663800000003</v>
      </c>
      <c r="O192" s="21">
        <v>0.95316123100000005</v>
      </c>
      <c r="P192" s="22">
        <v>-7.1313151000000005E-2</v>
      </c>
    </row>
    <row r="193" spans="1:16">
      <c r="A193" s="15">
        <v>45938</v>
      </c>
      <c r="B193" s="16">
        <v>177.01582339999999</v>
      </c>
      <c r="C193" s="16">
        <v>761.53198239999995</v>
      </c>
      <c r="D193" s="16">
        <v>-76.950287220000007</v>
      </c>
      <c r="E193" s="16">
        <v>-80.126173890000004</v>
      </c>
      <c r="F193" s="16">
        <v>2.2636461149999998</v>
      </c>
      <c r="G193" s="17">
        <v>1.4029961010000001</v>
      </c>
      <c r="H193" s="18">
        <v>0</v>
      </c>
      <c r="I193" s="18">
        <v>0</v>
      </c>
      <c r="J193" s="19">
        <v>0</v>
      </c>
      <c r="K193" s="20">
        <v>0</v>
      </c>
      <c r="L193" s="19">
        <v>0</v>
      </c>
      <c r="M193" s="19">
        <v>0</v>
      </c>
      <c r="N193" s="21">
        <v>0.97638663800000003</v>
      </c>
      <c r="O193" s="21">
        <v>0.95316123100000005</v>
      </c>
      <c r="P193" s="22">
        <v>-7.1313151000000005E-2</v>
      </c>
    </row>
    <row r="194" spans="1:16">
      <c r="A194" s="15">
        <v>45939</v>
      </c>
      <c r="B194" s="16">
        <v>174.44247440000001</v>
      </c>
      <c r="C194" s="16">
        <v>764.91540529999997</v>
      </c>
      <c r="D194" s="16">
        <v>-80.267890050000005</v>
      </c>
      <c r="E194" s="16">
        <v>-79.902477390000001</v>
      </c>
      <c r="F194" s="16">
        <v>2.0845304109999998</v>
      </c>
      <c r="G194" s="17">
        <v>-0.17529735599999999</v>
      </c>
      <c r="H194" s="18">
        <v>0</v>
      </c>
      <c r="I194" s="18">
        <v>0</v>
      </c>
      <c r="J194" s="19">
        <v>0</v>
      </c>
      <c r="K194" s="20">
        <v>0</v>
      </c>
      <c r="L194" s="19">
        <v>0</v>
      </c>
      <c r="M194" s="19">
        <v>0</v>
      </c>
      <c r="N194" s="21">
        <v>0.97638663800000003</v>
      </c>
      <c r="O194" s="21">
        <v>0.95316123100000005</v>
      </c>
      <c r="P194" s="22">
        <v>-7.1313151000000005E-2</v>
      </c>
    </row>
    <row r="195" spans="1:16">
      <c r="A195" s="15">
        <v>45940</v>
      </c>
      <c r="B195" s="16">
        <v>167.36570739999999</v>
      </c>
      <c r="C195" s="16">
        <v>749.61633300000005</v>
      </c>
      <c r="D195" s="16">
        <v>-83.979309650000005</v>
      </c>
      <c r="E195" s="16">
        <v>-80.432723170000003</v>
      </c>
      <c r="F195" s="16">
        <v>2.2526396649999998</v>
      </c>
      <c r="G195" s="17">
        <v>-1.574413579</v>
      </c>
      <c r="H195" s="18">
        <v>0</v>
      </c>
      <c r="I195" s="18">
        <v>0</v>
      </c>
      <c r="J195" s="19">
        <v>0</v>
      </c>
      <c r="K195" s="20">
        <v>0</v>
      </c>
      <c r="L195" s="19">
        <v>0</v>
      </c>
      <c r="M195" s="19">
        <v>0</v>
      </c>
      <c r="N195" s="21">
        <v>0.97638663800000003</v>
      </c>
      <c r="O195" s="21">
        <v>0.95316123100000005</v>
      </c>
      <c r="P195" s="22">
        <v>-7.1313151000000005E-2</v>
      </c>
    </row>
    <row r="196" spans="1:16">
      <c r="A196" s="15">
        <v>45943</v>
      </c>
      <c r="B196" s="16">
        <v>170.6896362</v>
      </c>
      <c r="C196" s="16">
        <v>771.60388179999995</v>
      </c>
      <c r="D196" s="16">
        <v>-85.491996950000001</v>
      </c>
      <c r="E196" s="16">
        <v>-80.852186869999997</v>
      </c>
      <c r="F196" s="16">
        <v>2.685016214</v>
      </c>
      <c r="G196" s="17">
        <v>-1.7280380120000001</v>
      </c>
      <c r="H196" s="18">
        <v>0</v>
      </c>
      <c r="I196" s="18">
        <v>0</v>
      </c>
      <c r="J196" s="19">
        <v>0</v>
      </c>
      <c r="K196" s="20">
        <v>0</v>
      </c>
      <c r="L196" s="19">
        <v>0</v>
      </c>
      <c r="M196" s="19">
        <v>0</v>
      </c>
      <c r="N196" s="21">
        <v>0.97638663800000003</v>
      </c>
      <c r="O196" s="21">
        <v>0.95316123100000005</v>
      </c>
      <c r="P196" s="22">
        <v>-7.1313151000000005E-2</v>
      </c>
    </row>
    <row r="197" spans="1:16">
      <c r="A197" s="15">
        <v>45944</v>
      </c>
      <c r="B197" s="16">
        <v>169.5491791</v>
      </c>
      <c r="C197" s="16">
        <v>755.89288329999999</v>
      </c>
      <c r="D197" s="16">
        <v>-83.176495020000004</v>
      </c>
      <c r="E197" s="16">
        <v>-81.143254510000006</v>
      </c>
      <c r="F197" s="16">
        <v>2.73567004</v>
      </c>
      <c r="G197" s="17">
        <v>-0.74323309699999995</v>
      </c>
      <c r="H197" s="18">
        <v>0</v>
      </c>
      <c r="I197" s="18">
        <v>0</v>
      </c>
      <c r="J197" s="19">
        <v>0</v>
      </c>
      <c r="K197" s="20">
        <v>0</v>
      </c>
      <c r="L197" s="19">
        <v>0</v>
      </c>
      <c r="M197" s="19">
        <v>0</v>
      </c>
      <c r="N197" s="21">
        <v>0.97638663800000003</v>
      </c>
      <c r="O197" s="21">
        <v>0.95316123100000005</v>
      </c>
      <c r="P197" s="22">
        <v>-7.1313151000000005E-2</v>
      </c>
    </row>
    <row r="198" spans="1:16">
      <c r="A198" s="15">
        <v>45945</v>
      </c>
      <c r="B198" s="16">
        <v>170.84559630000001</v>
      </c>
      <c r="C198" s="16">
        <v>753.11743160000003</v>
      </c>
      <c r="D198" s="16">
        <v>-81.269559790000002</v>
      </c>
      <c r="E198" s="16">
        <v>-81.139242960000004</v>
      </c>
      <c r="F198" s="16">
        <v>2.7354262669999998</v>
      </c>
      <c r="G198" s="17">
        <v>-4.7640410000000001E-2</v>
      </c>
      <c r="H198" s="18">
        <v>0</v>
      </c>
      <c r="I198" s="18">
        <v>0</v>
      </c>
      <c r="J198" s="19">
        <v>0</v>
      </c>
      <c r="K198" s="20">
        <v>0</v>
      </c>
      <c r="L198" s="19">
        <v>0</v>
      </c>
      <c r="M198" s="19">
        <v>0</v>
      </c>
      <c r="N198" s="21">
        <v>0.97638663800000003</v>
      </c>
      <c r="O198" s="21">
        <v>0.95316123100000005</v>
      </c>
      <c r="P198" s="22">
        <v>-7.1313151000000005E-2</v>
      </c>
    </row>
    <row r="199" spans="1:16">
      <c r="A199" s="15">
        <v>45946</v>
      </c>
      <c r="B199" s="16">
        <v>171.05029300000001</v>
      </c>
      <c r="C199" s="16">
        <v>743.46728519999999</v>
      </c>
      <c r="D199" s="16">
        <v>-78.942113820000003</v>
      </c>
      <c r="E199" s="16">
        <v>-81.121577310000006</v>
      </c>
      <c r="F199" s="16">
        <v>2.7500573660000001</v>
      </c>
      <c r="G199" s="17">
        <v>0.79251564799999996</v>
      </c>
      <c r="H199" s="18">
        <v>0</v>
      </c>
      <c r="I199" s="18">
        <v>0</v>
      </c>
      <c r="J199" s="19">
        <v>0</v>
      </c>
      <c r="K199" s="20">
        <v>0</v>
      </c>
      <c r="L199" s="19">
        <v>0</v>
      </c>
      <c r="M199" s="19">
        <v>0</v>
      </c>
      <c r="N199" s="21">
        <v>0.97638663800000003</v>
      </c>
      <c r="O199" s="21">
        <v>0.95316123100000005</v>
      </c>
      <c r="P199" s="22">
        <v>-7.1313151000000005E-2</v>
      </c>
    </row>
    <row r="200" spans="1:16">
      <c r="A200" s="15">
        <v>45947</v>
      </c>
      <c r="B200" s="16">
        <v>172.12252810000001</v>
      </c>
      <c r="C200" s="16">
        <v>736.28845209999997</v>
      </c>
      <c r="D200" s="16">
        <v>-76.290745909999998</v>
      </c>
      <c r="E200" s="16">
        <v>-80.806531100000001</v>
      </c>
      <c r="F200" s="16">
        <v>3.0782783239999998</v>
      </c>
      <c r="G200" s="17">
        <v>1.466984047</v>
      </c>
      <c r="H200" s="18">
        <v>0</v>
      </c>
      <c r="I200" s="18">
        <v>0</v>
      </c>
      <c r="J200" s="19">
        <v>0</v>
      </c>
      <c r="K200" s="20">
        <v>0</v>
      </c>
      <c r="L200" s="19">
        <v>0</v>
      </c>
      <c r="M200" s="19">
        <v>0</v>
      </c>
      <c r="N200" s="21">
        <v>0.97638663800000003</v>
      </c>
      <c r="O200" s="21">
        <v>0.95316123100000005</v>
      </c>
      <c r="P200" s="22">
        <v>-7.1313151000000005E-2</v>
      </c>
    </row>
    <row r="201" spans="1:16">
      <c r="A201" s="15">
        <v>45950</v>
      </c>
      <c r="B201" s="16">
        <v>175.05654910000001</v>
      </c>
      <c r="C201" s="16">
        <v>748.59637450000002</v>
      </c>
      <c r="D201" s="16">
        <v>-76.064107000000007</v>
      </c>
      <c r="E201" s="16">
        <v>-80.739573629999995</v>
      </c>
      <c r="F201" s="16">
        <v>3.1788413279999999</v>
      </c>
      <c r="G201" s="17">
        <v>1.4708084320000001</v>
      </c>
      <c r="H201" s="18">
        <v>0</v>
      </c>
      <c r="I201" s="18">
        <v>0</v>
      </c>
      <c r="J201" s="19">
        <v>0</v>
      </c>
      <c r="K201" s="20">
        <v>0</v>
      </c>
      <c r="L201" s="19">
        <v>0</v>
      </c>
      <c r="M201" s="19">
        <v>0</v>
      </c>
      <c r="N201" s="21">
        <v>0.97638663800000003</v>
      </c>
      <c r="O201" s="21">
        <v>0.95316123100000005</v>
      </c>
      <c r="P201" s="22">
        <v>-7.1313151000000005E-2</v>
      </c>
    </row>
    <row r="202" spans="1:16">
      <c r="A202" s="15">
        <v>45951</v>
      </c>
      <c r="B202" s="16">
        <v>176.2749939</v>
      </c>
      <c r="C202" s="16">
        <v>744.34008789999996</v>
      </c>
      <c r="D202" s="16">
        <v>-73.909403900000001</v>
      </c>
      <c r="E202" s="16">
        <v>-80.140038329999996</v>
      </c>
      <c r="F202" s="16">
        <v>3.7338814889999998</v>
      </c>
      <c r="G202" s="17">
        <v>1.6686749279999999</v>
      </c>
      <c r="H202" s="18">
        <v>0</v>
      </c>
      <c r="I202" s="18">
        <v>0</v>
      </c>
      <c r="J202" s="19">
        <v>0</v>
      </c>
      <c r="K202" s="20">
        <v>0</v>
      </c>
      <c r="L202" s="19">
        <v>0</v>
      </c>
      <c r="M202" s="19">
        <v>0</v>
      </c>
      <c r="N202" s="21">
        <v>0.97638663800000003</v>
      </c>
      <c r="O202" s="21">
        <v>0.95316123100000005</v>
      </c>
      <c r="P202" s="22">
        <v>-7.1313151000000005E-2</v>
      </c>
    </row>
    <row r="203" spans="1:16">
      <c r="A203" s="15">
        <v>45952</v>
      </c>
      <c r="B203" s="16">
        <v>166.4007111</v>
      </c>
      <c r="C203" s="16">
        <v>730.23742679999998</v>
      </c>
      <c r="D203" s="16">
        <v>-80.681514739999997</v>
      </c>
      <c r="E203" s="16">
        <v>-80.103628060000005</v>
      </c>
      <c r="F203" s="16">
        <v>3.7255945600000002</v>
      </c>
      <c r="G203" s="17">
        <v>-0.15511260499999999</v>
      </c>
      <c r="H203" s="18">
        <v>0</v>
      </c>
      <c r="I203" s="18">
        <v>0</v>
      </c>
      <c r="J203" s="19">
        <v>0</v>
      </c>
      <c r="K203" s="20">
        <v>0</v>
      </c>
      <c r="L203" s="19">
        <v>0</v>
      </c>
      <c r="M203" s="19">
        <v>0</v>
      </c>
      <c r="N203" s="21">
        <v>0.97638663800000003</v>
      </c>
      <c r="O203" s="21">
        <v>0.95316123100000005</v>
      </c>
      <c r="P203" s="22">
        <v>-7.1313151000000005E-2</v>
      </c>
    </row>
    <row r="204" spans="1:16">
      <c r="A204" s="15">
        <v>45953</v>
      </c>
      <c r="B204" s="16">
        <v>167.84335329999999</v>
      </c>
      <c r="C204" s="16">
        <v>736.29827880000005</v>
      </c>
      <c r="D204" s="16">
        <v>-80.572082289999997</v>
      </c>
      <c r="E204" s="16">
        <v>-79.79962553</v>
      </c>
      <c r="F204" s="16">
        <v>3.501241292</v>
      </c>
      <c r="G204" s="17">
        <v>-0.22062368700000001</v>
      </c>
      <c r="H204" s="18">
        <v>0</v>
      </c>
      <c r="I204" s="18">
        <v>0</v>
      </c>
      <c r="J204" s="19">
        <v>0</v>
      </c>
      <c r="K204" s="20">
        <v>0</v>
      </c>
      <c r="L204" s="19">
        <v>0</v>
      </c>
      <c r="M204" s="19">
        <v>0</v>
      </c>
      <c r="N204" s="21">
        <v>0.97638663800000003</v>
      </c>
      <c r="O204" s="21">
        <v>0.95316123100000005</v>
      </c>
      <c r="P204" s="22">
        <v>-7.1313151000000005E-2</v>
      </c>
    </row>
    <row r="205" spans="1:16">
      <c r="A205" s="15">
        <v>45954</v>
      </c>
      <c r="B205" s="16">
        <v>164.8605804</v>
      </c>
      <c r="C205" s="16">
        <v>768.75982669999996</v>
      </c>
      <c r="D205" s="16">
        <v>-90.695443969999999</v>
      </c>
      <c r="E205" s="16">
        <v>-80.945055260000004</v>
      </c>
      <c r="F205" s="16">
        <v>4.5696788829999999</v>
      </c>
      <c r="G205" s="17">
        <v>-2.1337141989999999</v>
      </c>
      <c r="H205" s="18">
        <v>1</v>
      </c>
      <c r="I205" s="18">
        <v>0</v>
      </c>
      <c r="J205" s="19">
        <v>0</v>
      </c>
      <c r="K205" s="20">
        <v>0</v>
      </c>
      <c r="L205" s="19">
        <v>0</v>
      </c>
      <c r="M205" s="19">
        <v>0</v>
      </c>
      <c r="N205" s="21">
        <v>0.97638663800000003</v>
      </c>
      <c r="O205" s="21">
        <v>0.95316123100000005</v>
      </c>
      <c r="P205" s="22">
        <v>-7.1313151000000005E-2</v>
      </c>
    </row>
    <row r="206" spans="1:16">
      <c r="A206" s="15">
        <v>45957</v>
      </c>
      <c r="B206" s="16">
        <v>165.1335297</v>
      </c>
      <c r="C206" s="16">
        <v>774.75189209999996</v>
      </c>
      <c r="D206" s="16">
        <v>-91.740573479999995</v>
      </c>
      <c r="E206" s="16">
        <v>-81.901112209999994</v>
      </c>
      <c r="F206" s="16">
        <v>5.5170622810000003</v>
      </c>
      <c r="G206" s="17">
        <v>-1.783460249</v>
      </c>
      <c r="H206" s="18">
        <v>1</v>
      </c>
      <c r="I206" s="18">
        <v>1</v>
      </c>
      <c r="J206" s="19">
        <v>-3.1294560000000001E-3</v>
      </c>
      <c r="K206" s="20">
        <v>1</v>
      </c>
      <c r="L206" s="19">
        <v>1E-3</v>
      </c>
      <c r="M206" s="19">
        <v>-4.1294560000000001E-3</v>
      </c>
      <c r="N206" s="21">
        <v>0.97333107900000004</v>
      </c>
      <c r="O206" s="21">
        <v>0.94922519299999997</v>
      </c>
      <c r="P206" s="22">
        <v>-7.5148122999999997E-2</v>
      </c>
    </row>
    <row r="207" spans="1:16">
      <c r="A207" s="15">
        <v>45958</v>
      </c>
      <c r="B207" s="16">
        <v>162.69664</v>
      </c>
      <c r="C207" s="16">
        <v>776.81152340000006</v>
      </c>
      <c r="D207" s="16">
        <v>-94.630521639999998</v>
      </c>
      <c r="E207" s="16">
        <v>-82.788713209999997</v>
      </c>
      <c r="F207" s="16">
        <v>6.6269605800000004</v>
      </c>
      <c r="G207" s="17">
        <v>-1.786913969</v>
      </c>
      <c r="H207" s="18">
        <v>1</v>
      </c>
      <c r="I207" s="18">
        <v>1</v>
      </c>
      <c r="J207" s="19">
        <v>-8.6124110000000004E-3</v>
      </c>
      <c r="K207" s="20">
        <v>0</v>
      </c>
      <c r="L207" s="19">
        <v>0</v>
      </c>
      <c r="M207" s="19">
        <v>-8.6124110000000004E-3</v>
      </c>
      <c r="N207" s="21">
        <v>0.96494835199999995</v>
      </c>
      <c r="O207" s="21">
        <v>0.94105007500000004</v>
      </c>
      <c r="P207" s="22">
        <v>-8.3113327000000001E-2</v>
      </c>
    </row>
    <row r="208" spans="1:16">
      <c r="A208" s="15">
        <v>45959</v>
      </c>
      <c r="B208" s="16">
        <v>156.21449279999999</v>
      </c>
      <c r="C208" s="16">
        <v>767.95562740000003</v>
      </c>
      <c r="D208" s="16">
        <v>-99.164631369999995</v>
      </c>
      <c r="E208" s="16">
        <v>-83.928099410000002</v>
      </c>
      <c r="F208" s="16">
        <v>8.1372723449999995</v>
      </c>
      <c r="G208" s="17">
        <v>-1.8724372629999999</v>
      </c>
      <c r="H208" s="18">
        <v>1</v>
      </c>
      <c r="I208" s="18">
        <v>1</v>
      </c>
      <c r="J208" s="19">
        <v>-1.3592580999999999E-2</v>
      </c>
      <c r="K208" s="20">
        <v>0</v>
      </c>
      <c r="L208" s="19">
        <v>0</v>
      </c>
      <c r="M208" s="19">
        <v>-1.3592580999999999E-2</v>
      </c>
      <c r="N208" s="21">
        <v>0.95183221299999998</v>
      </c>
      <c r="O208" s="21">
        <v>0.92825877700000003</v>
      </c>
      <c r="P208" s="22">
        <v>-9.5576182999999995E-2</v>
      </c>
    </row>
    <row r="209" spans="1:16">
      <c r="A209" s="15">
        <v>45960</v>
      </c>
      <c r="B209" s="16">
        <v>156.45820620000001</v>
      </c>
      <c r="C209" s="16">
        <v>774.91864009999995</v>
      </c>
      <c r="D209" s="16">
        <v>-100.4525766</v>
      </c>
      <c r="E209" s="16">
        <v>-85.367772880000004</v>
      </c>
      <c r="F209" s="16">
        <v>9.4194611689999999</v>
      </c>
      <c r="G209" s="17">
        <v>-1.601450815</v>
      </c>
      <c r="H209" s="18">
        <v>1</v>
      </c>
      <c r="I209" s="18">
        <v>1</v>
      </c>
      <c r="J209" s="19">
        <v>-3.9611749999999999E-3</v>
      </c>
      <c r="K209" s="20">
        <v>0</v>
      </c>
      <c r="L209" s="19">
        <v>0</v>
      </c>
      <c r="M209" s="19">
        <v>-3.9611749999999999E-3</v>
      </c>
      <c r="N209" s="21">
        <v>0.94806183899999996</v>
      </c>
      <c r="O209" s="21">
        <v>0.92458178099999999</v>
      </c>
      <c r="P209" s="22">
        <v>-9.9158764999999996E-2</v>
      </c>
    </row>
    <row r="210" spans="1:16">
      <c r="A210" s="15">
        <v>45961</v>
      </c>
      <c r="B210" s="16">
        <v>158.78898620000001</v>
      </c>
      <c r="C210" s="16">
        <v>774.14392090000001</v>
      </c>
      <c r="D210" s="16">
        <v>-97.951381100000006</v>
      </c>
      <c r="E210" s="16">
        <v>-86.75792466</v>
      </c>
      <c r="F210" s="16">
        <v>9.974286566</v>
      </c>
      <c r="G210" s="17">
        <v>-1.1222312860000001</v>
      </c>
      <c r="H210" s="18">
        <v>1</v>
      </c>
      <c r="I210" s="18">
        <v>1</v>
      </c>
      <c r="J210" s="19">
        <v>7.6508440000000004E-3</v>
      </c>
      <c r="K210" s="20">
        <v>0</v>
      </c>
      <c r="L210" s="19">
        <v>0</v>
      </c>
      <c r="M210" s="19">
        <v>7.6508440000000004E-3</v>
      </c>
      <c r="N210" s="21">
        <v>0.95531531300000005</v>
      </c>
      <c r="O210" s="21">
        <v>0.93165561200000002</v>
      </c>
      <c r="P210" s="22">
        <v>-9.2266569000000007E-2</v>
      </c>
    </row>
    <row r="211" spans="1:16">
      <c r="A211" s="15">
        <v>45964</v>
      </c>
      <c r="B211" s="16">
        <v>158.78898620000001</v>
      </c>
      <c r="C211" s="16">
        <v>770.36822510000002</v>
      </c>
      <c r="D211" s="16">
        <v>-97.120838719999995</v>
      </c>
      <c r="E211" s="16">
        <v>-88.272818400000006</v>
      </c>
      <c r="F211" s="16">
        <v>10.059435049999999</v>
      </c>
      <c r="G211" s="17">
        <v>-0.87957427700000002</v>
      </c>
      <c r="H211" s="18">
        <v>1</v>
      </c>
      <c r="I211" s="18">
        <v>1</v>
      </c>
      <c r="J211" s="19">
        <v>2.5238470000000001E-3</v>
      </c>
      <c r="K211" s="20">
        <v>0</v>
      </c>
      <c r="L211" s="19">
        <v>0</v>
      </c>
      <c r="M211" s="19">
        <v>2.5238470000000001E-3</v>
      </c>
      <c r="N211" s="21">
        <v>0.95772638200000004</v>
      </c>
      <c r="O211" s="21">
        <v>0.93400696800000005</v>
      </c>
      <c r="P211" s="22">
        <v>-8.9975587999999995E-2</v>
      </c>
    </row>
    <row r="212" spans="1:16">
      <c r="A212" s="15">
        <v>45965</v>
      </c>
      <c r="B212" s="16">
        <v>156.72372440000001</v>
      </c>
      <c r="C212" s="16">
        <v>775.57574460000001</v>
      </c>
      <c r="D212" s="16">
        <v>-100.33160220000001</v>
      </c>
      <c r="E212" s="16">
        <v>-90.276223090000002</v>
      </c>
      <c r="F212" s="16">
        <v>9.8479126109999999</v>
      </c>
      <c r="G212" s="17">
        <v>-1.021067052</v>
      </c>
      <c r="H212" s="18">
        <v>1</v>
      </c>
      <c r="I212" s="18">
        <v>1</v>
      </c>
      <c r="J212" s="19">
        <v>-9.7815349999999992E-3</v>
      </c>
      <c r="K212" s="20">
        <v>0</v>
      </c>
      <c r="L212" s="19">
        <v>0</v>
      </c>
      <c r="M212" s="19">
        <v>-9.7815349999999992E-3</v>
      </c>
      <c r="N212" s="21">
        <v>0.94835834799999996</v>
      </c>
      <c r="O212" s="21">
        <v>0.92487094700000005</v>
      </c>
      <c r="P212" s="22">
        <v>-9.8877023999999994E-2</v>
      </c>
    </row>
    <row r="213" spans="1:16">
      <c r="A213" s="15">
        <v>45966</v>
      </c>
      <c r="B213" s="16">
        <v>160.8640747</v>
      </c>
      <c r="C213" s="16">
        <v>777.79223630000001</v>
      </c>
      <c r="D213" s="16">
        <v>-96.678815040000003</v>
      </c>
      <c r="E213" s="16">
        <v>-91.99411542</v>
      </c>
      <c r="F213" s="16">
        <v>8.8953016300000005</v>
      </c>
      <c r="G213" s="17">
        <v>-0.52664876400000005</v>
      </c>
      <c r="H213" s="18">
        <v>1</v>
      </c>
      <c r="I213" s="18">
        <v>1</v>
      </c>
      <c r="J213" s="19">
        <v>1.1159420999999999E-2</v>
      </c>
      <c r="K213" s="20">
        <v>0</v>
      </c>
      <c r="L213" s="19">
        <v>0</v>
      </c>
      <c r="M213" s="19">
        <v>1.1159420999999999E-2</v>
      </c>
      <c r="N213" s="21">
        <v>0.95894147900000004</v>
      </c>
      <c r="O213" s="21">
        <v>0.93519197099999996</v>
      </c>
      <c r="P213" s="22">
        <v>-8.8821013000000004E-2</v>
      </c>
    </row>
    <row r="214" spans="1:16">
      <c r="A214" s="15">
        <v>45967</v>
      </c>
      <c r="B214" s="16">
        <v>158.71031189999999</v>
      </c>
      <c r="C214" s="16">
        <v>772.3884888</v>
      </c>
      <c r="D214" s="16">
        <v>-97.643911810000006</v>
      </c>
      <c r="E214" s="16">
        <v>-93.971991079999995</v>
      </c>
      <c r="F214" s="16">
        <v>6.9302355000000002</v>
      </c>
      <c r="G214" s="17">
        <v>-0.52984068600000001</v>
      </c>
      <c r="H214" s="18">
        <v>1</v>
      </c>
      <c r="I214" s="18">
        <v>1</v>
      </c>
      <c r="J214" s="19">
        <v>-2.907307E-3</v>
      </c>
      <c r="K214" s="20">
        <v>0</v>
      </c>
      <c r="L214" s="19">
        <v>0</v>
      </c>
      <c r="M214" s="19">
        <v>-2.907307E-3</v>
      </c>
      <c r="N214" s="21">
        <v>0.95615354100000005</v>
      </c>
      <c r="O214" s="21">
        <v>0.93247308100000004</v>
      </c>
      <c r="P214" s="22">
        <v>-9.1470090000000004E-2</v>
      </c>
    </row>
    <row r="215" spans="1:16">
      <c r="A215" s="15">
        <v>45968</v>
      </c>
      <c r="B215" s="16">
        <v>157.89404300000001</v>
      </c>
      <c r="C215" s="16">
        <v>771.17236330000003</v>
      </c>
      <c r="D215" s="16">
        <v>-98.192668780000005</v>
      </c>
      <c r="E215" s="16">
        <v>-95.431253920000003</v>
      </c>
      <c r="F215" s="16">
        <v>5.5916641479999996</v>
      </c>
      <c r="G215" s="17">
        <v>-0.493844907</v>
      </c>
      <c r="H215" s="18">
        <v>0</v>
      </c>
      <c r="I215" s="18">
        <v>1</v>
      </c>
      <c r="J215" s="19">
        <v>-1.6699180000000001E-3</v>
      </c>
      <c r="K215" s="20">
        <v>0</v>
      </c>
      <c r="L215" s="19">
        <v>0</v>
      </c>
      <c r="M215" s="19">
        <v>-1.6699180000000001E-3</v>
      </c>
      <c r="N215" s="21">
        <v>0.95455684299999999</v>
      </c>
      <c r="O215" s="21">
        <v>0.93091592700000003</v>
      </c>
      <c r="P215" s="22">
        <v>-9.2987260000000002E-2</v>
      </c>
    </row>
    <row r="216" spans="1:16">
      <c r="A216" s="15">
        <v>45971</v>
      </c>
      <c r="B216" s="16">
        <v>157.9235382</v>
      </c>
      <c r="C216" s="16">
        <v>781.82287599999995</v>
      </c>
      <c r="D216" s="16">
        <v>-100.5059741</v>
      </c>
      <c r="E216" s="16">
        <v>-97.092411569999996</v>
      </c>
      <c r="F216" s="16">
        <v>3.2442712280000001</v>
      </c>
      <c r="G216" s="17">
        <v>-1.052181609</v>
      </c>
      <c r="H216" s="18">
        <v>0</v>
      </c>
      <c r="I216" s="18">
        <v>0</v>
      </c>
      <c r="J216" s="19">
        <v>0</v>
      </c>
      <c r="K216" s="20">
        <v>1</v>
      </c>
      <c r="L216" s="19">
        <v>1E-3</v>
      </c>
      <c r="M216" s="19">
        <v>-1E-3</v>
      </c>
      <c r="N216" s="21">
        <v>0.95455684299999999</v>
      </c>
      <c r="O216" s="21">
        <v>0.92998501099999997</v>
      </c>
      <c r="P216" s="22">
        <v>-9.3894273E-2</v>
      </c>
    </row>
    <row r="217" spans="1:16">
      <c r="A217" s="15">
        <v>45972</v>
      </c>
      <c r="B217" s="16">
        <v>157.08758539999999</v>
      </c>
      <c r="C217" s="16">
        <v>794.67999269999996</v>
      </c>
      <c r="D217" s="16">
        <v>-104.1701156</v>
      </c>
      <c r="E217" s="16">
        <v>-98.215300869999993</v>
      </c>
      <c r="F217" s="16">
        <v>3.15969488</v>
      </c>
      <c r="G217" s="17">
        <v>-1.8846170120000001</v>
      </c>
      <c r="H217" s="18">
        <v>0</v>
      </c>
      <c r="I217" s="18">
        <v>0</v>
      </c>
      <c r="J217" s="19">
        <v>0</v>
      </c>
      <c r="K217" s="20">
        <v>0</v>
      </c>
      <c r="L217" s="19">
        <v>0</v>
      </c>
      <c r="M217" s="19">
        <v>0</v>
      </c>
      <c r="N217" s="21">
        <v>0.95455684299999999</v>
      </c>
      <c r="O217" s="21">
        <v>0.92998501099999997</v>
      </c>
      <c r="P217" s="22">
        <v>-9.3894273E-2</v>
      </c>
    </row>
    <row r="218" spans="1:16">
      <c r="A218" s="15">
        <v>45973</v>
      </c>
      <c r="B218" s="16">
        <v>160.39201349999999</v>
      </c>
      <c r="C218" s="16">
        <v>822.78717040000004</v>
      </c>
      <c r="D218" s="16">
        <v>-107.0484426</v>
      </c>
      <c r="E218" s="16">
        <v>-99.490956629999999</v>
      </c>
      <c r="F218" s="16">
        <v>3.3897588459999999</v>
      </c>
      <c r="G218" s="17">
        <v>-2.229505488</v>
      </c>
      <c r="H218" s="18">
        <v>1</v>
      </c>
      <c r="I218" s="18">
        <v>0</v>
      </c>
      <c r="J218" s="19">
        <v>0</v>
      </c>
      <c r="K218" s="20">
        <v>0</v>
      </c>
      <c r="L218" s="19">
        <v>0</v>
      </c>
      <c r="M218" s="19">
        <v>0</v>
      </c>
      <c r="N218" s="21">
        <v>0.95455684299999999</v>
      </c>
      <c r="O218" s="21">
        <v>0.92998501099999997</v>
      </c>
      <c r="P218" s="22">
        <v>-9.3894273E-2</v>
      </c>
    </row>
    <row r="219" spans="1:16">
      <c r="A219" s="15">
        <v>45974</v>
      </c>
      <c r="B219" s="16">
        <v>159.54623409999999</v>
      </c>
      <c r="C219" s="16">
        <v>789.96270749999996</v>
      </c>
      <c r="D219" s="16">
        <v>-100.67380249999999</v>
      </c>
      <c r="E219" s="16">
        <v>-99.994563369999995</v>
      </c>
      <c r="F219" s="16">
        <v>3.0320556249999999</v>
      </c>
      <c r="G219" s="17">
        <v>-0.22401934300000001</v>
      </c>
      <c r="H219" s="18">
        <v>0</v>
      </c>
      <c r="I219" s="18">
        <v>1</v>
      </c>
      <c r="J219" s="19">
        <v>1.8673091999999999E-2</v>
      </c>
      <c r="K219" s="20">
        <v>1</v>
      </c>
      <c r="L219" s="19">
        <v>1E-3</v>
      </c>
      <c r="M219" s="19">
        <v>1.7673092000000001E-2</v>
      </c>
      <c r="N219" s="21">
        <v>0.97238137099999999</v>
      </c>
      <c r="O219" s="21">
        <v>0.94642072200000005</v>
      </c>
      <c r="P219" s="22">
        <v>-7.7880583000000003E-2</v>
      </c>
    </row>
    <row r="220" spans="1:16">
      <c r="A220" s="15">
        <v>45975</v>
      </c>
      <c r="B220" s="16">
        <v>156.69421389999999</v>
      </c>
      <c r="C220" s="16">
        <v>775.65417479999996</v>
      </c>
      <c r="D220" s="16">
        <v>-100.378365</v>
      </c>
      <c r="E220" s="16">
        <v>-100.0957078</v>
      </c>
      <c r="F220" s="16">
        <v>3.0220812910000001</v>
      </c>
      <c r="G220" s="17">
        <v>-9.3530636E-2</v>
      </c>
      <c r="H220" s="18">
        <v>0</v>
      </c>
      <c r="I220" s="18">
        <v>0</v>
      </c>
      <c r="J220" s="19">
        <v>0</v>
      </c>
      <c r="K220" s="20">
        <v>1</v>
      </c>
      <c r="L220" s="19">
        <v>1E-3</v>
      </c>
      <c r="M220" s="19">
        <v>-1E-3</v>
      </c>
      <c r="N220" s="21">
        <v>0.97238137099999999</v>
      </c>
      <c r="O220" s="21">
        <v>0.94547430099999996</v>
      </c>
      <c r="P220" s="22">
        <v>-7.8802703000000002E-2</v>
      </c>
    </row>
    <row r="221" spans="1:16">
      <c r="A221" s="15">
        <v>45978</v>
      </c>
      <c r="B221" s="16">
        <v>152.42602539999999</v>
      </c>
      <c r="C221" s="16">
        <v>760.60028079999995</v>
      </c>
      <c r="D221" s="16">
        <v>-101.33513809999999</v>
      </c>
      <c r="E221" s="16">
        <v>-100.1692546</v>
      </c>
      <c r="F221" s="16">
        <v>3.0422278199999999</v>
      </c>
      <c r="G221" s="17">
        <v>-0.38323346699999999</v>
      </c>
      <c r="H221" s="18">
        <v>0</v>
      </c>
      <c r="I221" s="18">
        <v>0</v>
      </c>
      <c r="J221" s="19">
        <v>0</v>
      </c>
      <c r="K221" s="20">
        <v>0</v>
      </c>
      <c r="L221" s="19">
        <v>0</v>
      </c>
      <c r="M221" s="19">
        <v>0</v>
      </c>
      <c r="N221" s="21">
        <v>0.97238137099999999</v>
      </c>
      <c r="O221" s="21">
        <v>0.94547430099999996</v>
      </c>
      <c r="P221" s="22">
        <v>-7.8802703000000002E-2</v>
      </c>
    </row>
    <row r="222" spans="1:16">
      <c r="A222" s="15">
        <v>45979</v>
      </c>
      <c r="B222" s="16">
        <v>154.71749879999999</v>
      </c>
      <c r="C222" s="16">
        <v>761.3259888</v>
      </c>
      <c r="D222" s="16">
        <v>-99.203299240000007</v>
      </c>
      <c r="E222" s="16">
        <v>-100.2735811</v>
      </c>
      <c r="F222" s="16">
        <v>2.980087701</v>
      </c>
      <c r="G222" s="17">
        <v>0.35914443000000001</v>
      </c>
      <c r="H222" s="18">
        <v>0</v>
      </c>
      <c r="I222" s="18">
        <v>0</v>
      </c>
      <c r="J222" s="19">
        <v>0</v>
      </c>
      <c r="K222" s="20">
        <v>0</v>
      </c>
      <c r="L222" s="19">
        <v>0</v>
      </c>
      <c r="M222" s="19">
        <v>0</v>
      </c>
      <c r="N222" s="21">
        <v>0.97238137099999999</v>
      </c>
      <c r="O222" s="21">
        <v>0.94547430099999996</v>
      </c>
      <c r="P222" s="22">
        <v>-7.8802703000000002E-2</v>
      </c>
    </row>
    <row r="223" spans="1:16">
      <c r="A223" s="15">
        <v>45980</v>
      </c>
      <c r="B223" s="16">
        <v>154.49127200000001</v>
      </c>
      <c r="C223" s="16">
        <v>770.82916260000002</v>
      </c>
      <c r="D223" s="16">
        <v>-101.51994569999999</v>
      </c>
      <c r="E223" s="16">
        <v>-100.64017339999999</v>
      </c>
      <c r="F223" s="16">
        <v>2.8234587269999998</v>
      </c>
      <c r="G223" s="17">
        <v>-0.31159382299999999</v>
      </c>
      <c r="H223" s="18">
        <v>0</v>
      </c>
      <c r="I223" s="18">
        <v>0</v>
      </c>
      <c r="J223" s="19">
        <v>0</v>
      </c>
      <c r="K223" s="20">
        <v>0</v>
      </c>
      <c r="L223" s="19">
        <v>0</v>
      </c>
      <c r="M223" s="19">
        <v>0</v>
      </c>
      <c r="N223" s="21">
        <v>0.97238137099999999</v>
      </c>
      <c r="O223" s="21">
        <v>0.94547430099999996</v>
      </c>
      <c r="P223" s="22">
        <v>-7.8802703000000002E-2</v>
      </c>
    </row>
    <row r="224" spans="1:16">
      <c r="A224" s="15">
        <v>45981</v>
      </c>
      <c r="B224" s="16">
        <v>150.79347229999999</v>
      </c>
      <c r="C224" s="16">
        <v>758.77612299999998</v>
      </c>
      <c r="D224" s="16">
        <v>-102.56643</v>
      </c>
      <c r="E224" s="16">
        <v>-100.826409</v>
      </c>
      <c r="F224" s="16">
        <v>2.8744984520000001</v>
      </c>
      <c r="G224" s="17">
        <v>-0.60533029100000002</v>
      </c>
      <c r="H224" s="18">
        <v>0</v>
      </c>
      <c r="I224" s="18">
        <v>0</v>
      </c>
      <c r="J224" s="19">
        <v>0</v>
      </c>
      <c r="K224" s="20">
        <v>0</v>
      </c>
      <c r="L224" s="19">
        <v>0</v>
      </c>
      <c r="M224" s="19">
        <v>0</v>
      </c>
      <c r="N224" s="21">
        <v>0.97238137099999999</v>
      </c>
      <c r="O224" s="21">
        <v>0.94547430099999996</v>
      </c>
      <c r="P224" s="22">
        <v>-7.8802703000000002E-2</v>
      </c>
    </row>
    <row r="225" spans="1:16">
      <c r="A225" s="15">
        <v>45982</v>
      </c>
      <c r="B225" s="16">
        <v>156.76306149999999</v>
      </c>
      <c r="C225" s="16">
        <v>759.09979250000004</v>
      </c>
      <c r="D225" s="16">
        <v>-96.668038580000001</v>
      </c>
      <c r="E225" s="16">
        <v>-100.82551100000001</v>
      </c>
      <c r="F225" s="16">
        <v>2.875913358</v>
      </c>
      <c r="G225" s="17">
        <v>1.445618107</v>
      </c>
      <c r="H225" s="18">
        <v>0</v>
      </c>
      <c r="I225" s="18">
        <v>0</v>
      </c>
      <c r="J225" s="19">
        <v>0</v>
      </c>
      <c r="K225" s="20">
        <v>0</v>
      </c>
      <c r="L225" s="19">
        <v>0</v>
      </c>
      <c r="M225" s="19">
        <v>0</v>
      </c>
      <c r="N225" s="21">
        <v>0.97238137099999999</v>
      </c>
      <c r="O225" s="21">
        <v>0.94547430099999996</v>
      </c>
      <c r="P225" s="22">
        <v>-7.8802703000000002E-2</v>
      </c>
    </row>
    <row r="226" spans="1:16">
      <c r="A226" s="15">
        <v>45985</v>
      </c>
      <c r="B226" s="16">
        <v>158.59228519999999</v>
      </c>
      <c r="C226" s="16">
        <v>775.45806879999998</v>
      </c>
      <c r="D226" s="16">
        <v>-98.437156169999994</v>
      </c>
      <c r="E226" s="16">
        <v>-100.89161470000001</v>
      </c>
      <c r="F226" s="16">
        <v>2.8043615879999999</v>
      </c>
      <c r="G226" s="17">
        <v>0.87522897799999999</v>
      </c>
      <c r="H226" s="18">
        <v>0</v>
      </c>
      <c r="I226" s="18">
        <v>0</v>
      </c>
      <c r="J226" s="19">
        <v>0</v>
      </c>
      <c r="K226" s="20">
        <v>0</v>
      </c>
      <c r="L226" s="19">
        <v>0</v>
      </c>
      <c r="M226" s="19">
        <v>0</v>
      </c>
      <c r="N226" s="21">
        <v>0.97238137099999999</v>
      </c>
      <c r="O226" s="21">
        <v>0.94547430099999996</v>
      </c>
      <c r="P226" s="22">
        <v>-7.8802703000000002E-2</v>
      </c>
    </row>
    <row r="227" spans="1:16">
      <c r="A227" s="15">
        <v>45986</v>
      </c>
      <c r="B227" s="16">
        <v>159.0938568</v>
      </c>
      <c r="C227" s="16">
        <v>786.84417719999999</v>
      </c>
      <c r="D227" s="16">
        <v>-100.4401946</v>
      </c>
      <c r="E227" s="16">
        <v>-101.0789085</v>
      </c>
      <c r="F227" s="16">
        <v>2.6800170699999999</v>
      </c>
      <c r="G227" s="17">
        <v>0.23832458500000001</v>
      </c>
      <c r="H227" s="18">
        <v>0</v>
      </c>
      <c r="I227" s="18">
        <v>0</v>
      </c>
      <c r="J227" s="19">
        <v>0</v>
      </c>
      <c r="K227" s="20">
        <v>0</v>
      </c>
      <c r="L227" s="19">
        <v>0</v>
      </c>
      <c r="M227" s="19">
        <v>0</v>
      </c>
      <c r="N227" s="21">
        <v>0.97238137099999999</v>
      </c>
      <c r="O227" s="21">
        <v>0.94547430099999996</v>
      </c>
      <c r="P227" s="22">
        <v>-7.8802703000000002E-2</v>
      </c>
    </row>
    <row r="228" spans="1:16">
      <c r="A228" s="15">
        <v>45987</v>
      </c>
      <c r="B228" s="16">
        <v>162.61463929999999</v>
      </c>
      <c r="C228" s="16">
        <v>800.27001949999999</v>
      </c>
      <c r="D228" s="16">
        <v>-99.872703790000003</v>
      </c>
      <c r="E228" s="16">
        <v>-101.02613599999999</v>
      </c>
      <c r="F228" s="16">
        <v>2.6984955940000002</v>
      </c>
      <c r="G228" s="17">
        <v>0.427435273</v>
      </c>
      <c r="H228" s="18">
        <v>0</v>
      </c>
      <c r="I228" s="18">
        <v>0</v>
      </c>
      <c r="J228" s="19">
        <v>0</v>
      </c>
      <c r="K228" s="20">
        <v>0</v>
      </c>
      <c r="L228" s="19">
        <v>0</v>
      </c>
      <c r="M228" s="19">
        <v>0</v>
      </c>
      <c r="N228" s="21">
        <v>0.97238137099999999</v>
      </c>
      <c r="O228" s="21">
        <v>0.94547430099999996</v>
      </c>
      <c r="P228" s="22">
        <v>-7.8802703000000002E-2</v>
      </c>
    </row>
    <row r="229" spans="1:16">
      <c r="A229" s="15">
        <v>45989</v>
      </c>
      <c r="B229" s="16">
        <v>165.48632810000001</v>
      </c>
      <c r="C229" s="16">
        <v>810.10656740000002</v>
      </c>
      <c r="D229" s="16">
        <v>-99.164767089999998</v>
      </c>
      <c r="E229" s="16">
        <v>-100.6090236</v>
      </c>
      <c r="F229" s="16">
        <v>2.5511665209999999</v>
      </c>
      <c r="G229" s="17">
        <v>0.56611613100000002</v>
      </c>
      <c r="H229" s="18">
        <v>0</v>
      </c>
      <c r="I229" s="18">
        <v>0</v>
      </c>
      <c r="J229" s="19">
        <v>0</v>
      </c>
      <c r="K229" s="20">
        <v>0</v>
      </c>
      <c r="L229" s="19">
        <v>0</v>
      </c>
      <c r="M229" s="19">
        <v>0</v>
      </c>
      <c r="N229" s="21">
        <v>0.97238137099999999</v>
      </c>
      <c r="O229" s="21">
        <v>0.94547430099999996</v>
      </c>
      <c r="P229" s="22">
        <v>-7.8802703000000002E-2</v>
      </c>
    </row>
    <row r="230" spans="1:16">
      <c r="A230" s="15">
        <v>45992</v>
      </c>
      <c r="B230" s="16">
        <v>165.37815860000001</v>
      </c>
      <c r="C230" s="16">
        <v>795.21936040000003</v>
      </c>
      <c r="D230" s="16">
        <v>-95.998187549999997</v>
      </c>
      <c r="E230" s="16">
        <v>-99.688169029999997</v>
      </c>
      <c r="F230" s="16">
        <v>1.935575351</v>
      </c>
      <c r="G230" s="17">
        <v>1.9064003249999999</v>
      </c>
      <c r="H230" s="18">
        <v>0</v>
      </c>
      <c r="I230" s="18">
        <v>0</v>
      </c>
      <c r="J230" s="19">
        <v>0</v>
      </c>
      <c r="K230" s="20">
        <v>0</v>
      </c>
      <c r="L230" s="19">
        <v>0</v>
      </c>
      <c r="M230" s="19">
        <v>0</v>
      </c>
      <c r="N230" s="21">
        <v>0.97238137099999999</v>
      </c>
      <c r="O230" s="21">
        <v>0.94547430099999996</v>
      </c>
      <c r="P230" s="22">
        <v>-7.8802703000000002E-2</v>
      </c>
    </row>
    <row r="231" spans="1:16">
      <c r="A231" s="15">
        <v>45993</v>
      </c>
      <c r="B231" s="16">
        <v>172.3606873</v>
      </c>
      <c r="C231" s="16">
        <v>803.44897460000004</v>
      </c>
      <c r="D231" s="16">
        <v>-90.825932730000005</v>
      </c>
      <c r="E231" s="16">
        <v>-98.867513220000006</v>
      </c>
      <c r="F231" s="16">
        <v>3.1722807780000002</v>
      </c>
      <c r="G231" s="17">
        <v>2.5349523089999999</v>
      </c>
      <c r="H231" s="18">
        <v>-1</v>
      </c>
      <c r="I231" s="18">
        <v>0</v>
      </c>
      <c r="J231" s="19">
        <v>0</v>
      </c>
      <c r="K231" s="20">
        <v>0</v>
      </c>
      <c r="L231" s="19">
        <v>0</v>
      </c>
      <c r="M231" s="19">
        <v>0</v>
      </c>
      <c r="N231" s="21">
        <v>0.97238137099999999</v>
      </c>
      <c r="O231" s="21">
        <v>0.94547430099999996</v>
      </c>
      <c r="P231" s="22">
        <v>-7.8802703000000002E-2</v>
      </c>
    </row>
    <row r="232" spans="1:16">
      <c r="A232" s="15">
        <v>45994</v>
      </c>
      <c r="B232" s="16">
        <v>179.57926939999999</v>
      </c>
      <c r="C232" s="16">
        <v>824.50079349999999</v>
      </c>
      <c r="D232" s="16">
        <v>-88.238133550000001</v>
      </c>
      <c r="E232" s="16">
        <v>-97.855827259999998</v>
      </c>
      <c r="F232" s="16">
        <v>4.3601079619999998</v>
      </c>
      <c r="G232" s="17">
        <v>2.2058384320000002</v>
      </c>
      <c r="H232" s="18">
        <v>-1</v>
      </c>
      <c r="I232" s="18">
        <v>-1</v>
      </c>
      <c r="J232" s="19">
        <v>-7.4128600000000003E-3</v>
      </c>
      <c r="K232" s="20">
        <v>1</v>
      </c>
      <c r="L232" s="19">
        <v>1E-3</v>
      </c>
      <c r="M232" s="19">
        <v>-8.4128599999999994E-3</v>
      </c>
      <c r="N232" s="21">
        <v>0.96517324400000004</v>
      </c>
      <c r="O232" s="21">
        <v>0.93752015799999999</v>
      </c>
      <c r="P232" s="22">
        <v>-8.6552607000000004E-2</v>
      </c>
    </row>
    <row r="233" spans="1:16">
      <c r="A233" s="15">
        <v>45995</v>
      </c>
      <c r="B233" s="16">
        <v>177.14030460000001</v>
      </c>
      <c r="C233" s="16">
        <v>825.74255370000003</v>
      </c>
      <c r="D233" s="16">
        <v>-90.950249249999999</v>
      </c>
      <c r="E233" s="16">
        <v>-96.990419849999995</v>
      </c>
      <c r="F233" s="16">
        <v>4.6290603749999999</v>
      </c>
      <c r="G233" s="17">
        <v>1.304837292</v>
      </c>
      <c r="H233" s="18">
        <v>-1</v>
      </c>
      <c r="I233" s="18">
        <v>-1</v>
      </c>
      <c r="J233" s="19">
        <v>7.5139250000000003E-3</v>
      </c>
      <c r="K233" s="20">
        <v>0</v>
      </c>
      <c r="L233" s="19">
        <v>0</v>
      </c>
      <c r="M233" s="19">
        <v>7.5139250000000003E-3</v>
      </c>
      <c r="N233" s="21">
        <v>0.97242548299999998</v>
      </c>
      <c r="O233" s="21">
        <v>0.94456461400000002</v>
      </c>
      <c r="P233" s="22">
        <v>-7.9689032000000007E-2</v>
      </c>
    </row>
    <row r="234" spans="1:16">
      <c r="A234" s="15">
        <v>45996</v>
      </c>
      <c r="B234" s="16">
        <v>179.52024840000001</v>
      </c>
      <c r="C234" s="16">
        <v>842.23120119999999</v>
      </c>
      <c r="D234" s="16">
        <v>-92.197324440000003</v>
      </c>
      <c r="E234" s="16">
        <v>-96.406588619999994</v>
      </c>
      <c r="F234" s="16">
        <v>4.7644213710000001</v>
      </c>
      <c r="G234" s="17">
        <v>0.88347856899999999</v>
      </c>
      <c r="H234" s="18">
        <v>-1</v>
      </c>
      <c r="I234" s="18">
        <v>-1</v>
      </c>
      <c r="J234" s="19">
        <v>3.475882E-3</v>
      </c>
      <c r="K234" s="20">
        <v>0</v>
      </c>
      <c r="L234" s="19">
        <v>0</v>
      </c>
      <c r="M234" s="19">
        <v>3.475882E-3</v>
      </c>
      <c r="N234" s="21">
        <v>0.97580551999999998</v>
      </c>
      <c r="O234" s="21">
        <v>0.94784780999999996</v>
      </c>
      <c r="P234" s="22">
        <v>-7.6490138999999999E-2</v>
      </c>
    </row>
    <row r="235" spans="1:16">
      <c r="A235" s="15">
        <v>45999</v>
      </c>
      <c r="B235" s="16">
        <v>177.94673159999999</v>
      </c>
      <c r="C235" s="16">
        <v>854.18621829999995</v>
      </c>
      <c r="D235" s="16">
        <v>-96.400594569999996</v>
      </c>
      <c r="E235" s="16">
        <v>-95.979976030000003</v>
      </c>
      <c r="F235" s="16">
        <v>4.4860030479999997</v>
      </c>
      <c r="G235" s="17">
        <v>-9.3762428999999994E-2</v>
      </c>
      <c r="H235" s="18">
        <v>0</v>
      </c>
      <c r="I235" s="18">
        <v>-1</v>
      </c>
      <c r="J235" s="19">
        <v>1.1522551000000001E-2</v>
      </c>
      <c r="K235" s="20">
        <v>0</v>
      </c>
      <c r="L235" s="19">
        <v>0</v>
      </c>
      <c r="M235" s="19">
        <v>1.1522551000000001E-2</v>
      </c>
      <c r="N235" s="21">
        <v>0.987049289</v>
      </c>
      <c r="O235" s="21">
        <v>0.95876943400000003</v>
      </c>
      <c r="P235" s="22">
        <v>-6.5848950000000003E-2</v>
      </c>
    </row>
    <row r="236" spans="1:16">
      <c r="A236" s="15">
        <v>46000</v>
      </c>
      <c r="B236" s="16">
        <v>176.5502319</v>
      </c>
      <c r="C236" s="16">
        <v>863.93359380000004</v>
      </c>
      <c r="D236" s="16">
        <v>-99.941231040000005</v>
      </c>
      <c r="E236" s="16">
        <v>-95.761209440000002</v>
      </c>
      <c r="F236" s="16">
        <v>4.1898396150000004</v>
      </c>
      <c r="G236" s="17">
        <v>-0.99765670900000003</v>
      </c>
      <c r="H236" s="18">
        <v>0</v>
      </c>
      <c r="I236" s="18">
        <v>0</v>
      </c>
      <c r="J236" s="19">
        <v>0</v>
      </c>
      <c r="K236" s="20">
        <v>1</v>
      </c>
      <c r="L236" s="19">
        <v>1E-3</v>
      </c>
      <c r="M236" s="19">
        <v>-1E-3</v>
      </c>
      <c r="N236" s="21">
        <v>0.987049289</v>
      </c>
      <c r="O236" s="21">
        <v>0.95781066500000001</v>
      </c>
      <c r="P236" s="22">
        <v>-6.6783100999999997E-2</v>
      </c>
    </row>
    <row r="237" spans="1:16">
      <c r="A237" s="15">
        <v>46001</v>
      </c>
      <c r="B237" s="16">
        <v>178.6646423</v>
      </c>
      <c r="C237" s="16">
        <v>876.41088869999999</v>
      </c>
      <c r="D237" s="16">
        <v>-100.57145970000001</v>
      </c>
      <c r="E237" s="16">
        <v>-96.086494540000004</v>
      </c>
      <c r="F237" s="16">
        <v>4.4122634889999999</v>
      </c>
      <c r="G237" s="17">
        <v>-1.01647719</v>
      </c>
      <c r="H237" s="18">
        <v>0</v>
      </c>
      <c r="I237" s="18">
        <v>0</v>
      </c>
      <c r="J237" s="19">
        <v>0</v>
      </c>
      <c r="K237" s="20">
        <v>0</v>
      </c>
      <c r="L237" s="19">
        <v>0</v>
      </c>
      <c r="M237" s="19">
        <v>0</v>
      </c>
      <c r="N237" s="21">
        <v>0.987049289</v>
      </c>
      <c r="O237" s="21">
        <v>0.95781066500000001</v>
      </c>
      <c r="P237" s="22">
        <v>-6.6783100999999997E-2</v>
      </c>
    </row>
    <row r="238" spans="1:16">
      <c r="A238" s="15">
        <v>46002</v>
      </c>
      <c r="B238" s="16">
        <v>178.6646423</v>
      </c>
      <c r="C238" s="16">
        <v>897.8865356</v>
      </c>
      <c r="D238" s="16">
        <v>-105.2954725</v>
      </c>
      <c r="E238" s="16">
        <v>-96.658020899999997</v>
      </c>
      <c r="F238" s="16">
        <v>5.1302021560000002</v>
      </c>
      <c r="G238" s="17">
        <v>-1.683647409</v>
      </c>
      <c r="H238" s="18">
        <v>0</v>
      </c>
      <c r="I238" s="18">
        <v>0</v>
      </c>
      <c r="J238" s="19">
        <v>0</v>
      </c>
      <c r="K238" s="20">
        <v>0</v>
      </c>
      <c r="L238" s="19">
        <v>0</v>
      </c>
      <c r="M238" s="19">
        <v>0</v>
      </c>
      <c r="N238" s="21">
        <v>0.987049289</v>
      </c>
      <c r="O238" s="21">
        <v>0.95781066500000001</v>
      </c>
      <c r="P238" s="22">
        <v>-6.6783100999999997E-2</v>
      </c>
    </row>
    <row r="239" spans="1:16">
      <c r="A239" s="15">
        <v>46003</v>
      </c>
      <c r="B239" s="16">
        <v>176.45187379999999</v>
      </c>
      <c r="C239" s="16">
        <v>875.14941409999994</v>
      </c>
      <c r="D239" s="16">
        <v>-102.5067409</v>
      </c>
      <c r="E239" s="16">
        <v>-96.830233089999993</v>
      </c>
      <c r="F239" s="16">
        <v>5.3005618820000002</v>
      </c>
      <c r="G239" s="17">
        <v>-1.0709256659999999</v>
      </c>
      <c r="H239" s="18">
        <v>0</v>
      </c>
      <c r="I239" s="18">
        <v>0</v>
      </c>
      <c r="J239" s="19">
        <v>0</v>
      </c>
      <c r="K239" s="20">
        <v>0</v>
      </c>
      <c r="L239" s="19">
        <v>0</v>
      </c>
      <c r="M239" s="19">
        <v>0</v>
      </c>
      <c r="N239" s="21">
        <v>0.987049289</v>
      </c>
      <c r="O239" s="21">
        <v>0.95781066500000001</v>
      </c>
      <c r="P239" s="22">
        <v>-6.6783100999999997E-2</v>
      </c>
    </row>
    <row r="240" spans="1:16">
      <c r="A240" s="15">
        <v>46006</v>
      </c>
      <c r="B240" s="16">
        <v>175.0258484</v>
      </c>
      <c r="C240" s="16">
        <v>876.75592040000004</v>
      </c>
      <c r="D240" s="16">
        <v>-104.28615050000001</v>
      </c>
      <c r="E240" s="16">
        <v>-97.198020319999998</v>
      </c>
      <c r="F240" s="16">
        <v>5.6710299419999997</v>
      </c>
      <c r="G240" s="17">
        <v>-1.2498841119999999</v>
      </c>
      <c r="H240" s="18">
        <v>0</v>
      </c>
      <c r="I240" s="18">
        <v>0</v>
      </c>
      <c r="J240" s="19">
        <v>0</v>
      </c>
      <c r="K240" s="20">
        <v>0</v>
      </c>
      <c r="L240" s="19">
        <v>0</v>
      </c>
      <c r="M240" s="19">
        <v>0</v>
      </c>
      <c r="N240" s="21">
        <v>0.987049289</v>
      </c>
      <c r="O240" s="21">
        <v>0.95781066500000001</v>
      </c>
      <c r="P240" s="22">
        <v>-6.6783100999999997E-2</v>
      </c>
    </row>
    <row r="241" spans="1:16">
      <c r="A241" s="15">
        <v>46007</v>
      </c>
      <c r="B241" s="16">
        <v>174.62265009999999</v>
      </c>
      <c r="C241" s="16">
        <v>866.46643070000005</v>
      </c>
      <c r="D241" s="16">
        <v>-102.4259627</v>
      </c>
      <c r="E241" s="16">
        <v>-97.469786619999994</v>
      </c>
      <c r="F241" s="16">
        <v>5.8491910259999997</v>
      </c>
      <c r="G241" s="17">
        <v>-0.84732675999999996</v>
      </c>
      <c r="H241" s="18">
        <v>0</v>
      </c>
      <c r="I241" s="18">
        <v>0</v>
      </c>
      <c r="J241" s="19">
        <v>0</v>
      </c>
      <c r="K241" s="20">
        <v>0</v>
      </c>
      <c r="L241" s="19">
        <v>0</v>
      </c>
      <c r="M241" s="19">
        <v>0</v>
      </c>
      <c r="N241" s="21">
        <v>0.987049289</v>
      </c>
      <c r="O241" s="21">
        <v>0.95781066500000001</v>
      </c>
      <c r="P241" s="22">
        <v>-6.6783100999999997E-2</v>
      </c>
    </row>
    <row r="242" spans="1:16">
      <c r="A242" s="15">
        <v>46008</v>
      </c>
      <c r="B242" s="16">
        <v>171.60343929999999</v>
      </c>
      <c r="C242" s="16">
        <v>859.74487299999998</v>
      </c>
      <c r="D242" s="16">
        <v>-103.96662790000001</v>
      </c>
      <c r="E242" s="16">
        <v>-98.133823309999997</v>
      </c>
      <c r="F242" s="16">
        <v>6.1132895339999997</v>
      </c>
      <c r="G242" s="17">
        <v>-0.95411881700000001</v>
      </c>
      <c r="H242" s="18">
        <v>0</v>
      </c>
      <c r="I242" s="18">
        <v>0</v>
      </c>
      <c r="J242" s="19">
        <v>0</v>
      </c>
      <c r="K242" s="20">
        <v>0</v>
      </c>
      <c r="L242" s="19">
        <v>0</v>
      </c>
      <c r="M242" s="19">
        <v>0</v>
      </c>
      <c r="N242" s="21">
        <v>0.987049289</v>
      </c>
      <c r="O242" s="21">
        <v>0.95781066500000001</v>
      </c>
      <c r="P242" s="22">
        <v>-6.6783100999999997E-2</v>
      </c>
    </row>
    <row r="243" spans="1:16">
      <c r="A243" s="15">
        <v>46009</v>
      </c>
      <c r="B243" s="16">
        <v>173.27531429999999</v>
      </c>
      <c r="C243" s="16">
        <v>863.65759279999997</v>
      </c>
      <c r="D243" s="16">
        <v>-103.15543649999999</v>
      </c>
      <c r="E243" s="16">
        <v>-99.161281959999997</v>
      </c>
      <c r="F243" s="16">
        <v>5.8015568230000003</v>
      </c>
      <c r="G243" s="17">
        <v>-0.68846254200000001</v>
      </c>
      <c r="H243" s="18">
        <v>0</v>
      </c>
      <c r="I243" s="18">
        <v>0</v>
      </c>
      <c r="J243" s="19">
        <v>0</v>
      </c>
      <c r="K243" s="20">
        <v>0</v>
      </c>
      <c r="L243" s="19">
        <v>0</v>
      </c>
      <c r="M243" s="19">
        <v>0</v>
      </c>
      <c r="N243" s="21">
        <v>0.987049289</v>
      </c>
      <c r="O243" s="21">
        <v>0.95781066500000001</v>
      </c>
      <c r="P243" s="22">
        <v>-6.6783100999999997E-2</v>
      </c>
    </row>
    <row r="244" spans="1:16">
      <c r="A244" s="15">
        <v>46010</v>
      </c>
      <c r="B244" s="16">
        <v>173.37364199999999</v>
      </c>
      <c r="C244" s="16">
        <v>880.5896606</v>
      </c>
      <c r="D244" s="16">
        <v>-106.7816674</v>
      </c>
      <c r="E244" s="16">
        <v>-100.7065765</v>
      </c>
      <c r="F244" s="16">
        <v>5.0482990829999999</v>
      </c>
      <c r="G244" s="17">
        <v>-1.203393632</v>
      </c>
      <c r="H244" s="18">
        <v>0</v>
      </c>
      <c r="I244" s="18">
        <v>0</v>
      </c>
      <c r="J244" s="19">
        <v>0</v>
      </c>
      <c r="K244" s="20">
        <v>0</v>
      </c>
      <c r="L244" s="19">
        <v>0</v>
      </c>
      <c r="M244" s="19">
        <v>0</v>
      </c>
      <c r="N244" s="21">
        <v>0.987049289</v>
      </c>
      <c r="O244" s="21">
        <v>0.95781066500000001</v>
      </c>
      <c r="P244" s="22">
        <v>-6.6783100999999997E-2</v>
      </c>
    </row>
    <row r="245" spans="1:16">
      <c r="A245" s="15">
        <v>46013</v>
      </c>
      <c r="B245" s="16">
        <v>175.86181640000001</v>
      </c>
      <c r="C245" s="16">
        <v>886.03015140000002</v>
      </c>
      <c r="D245" s="16">
        <v>-105.4902414</v>
      </c>
      <c r="E245" s="16">
        <v>-101.91824250000001</v>
      </c>
      <c r="F245" s="16">
        <v>4.1606214110000002</v>
      </c>
      <c r="G245" s="17">
        <v>-0.85852535500000005</v>
      </c>
      <c r="H245" s="18">
        <v>0</v>
      </c>
      <c r="I245" s="18">
        <v>0</v>
      </c>
      <c r="J245" s="19">
        <v>0</v>
      </c>
      <c r="K245" s="20">
        <v>0</v>
      </c>
      <c r="L245" s="19">
        <v>0</v>
      </c>
      <c r="M245" s="19">
        <v>0</v>
      </c>
      <c r="N245" s="21">
        <v>0.987049289</v>
      </c>
      <c r="O245" s="21">
        <v>0.95781066500000001</v>
      </c>
      <c r="P245" s="22">
        <v>-6.6783100999999997E-2</v>
      </c>
    </row>
    <row r="246" spans="1:16">
      <c r="A246" s="15">
        <v>46014</v>
      </c>
      <c r="B246" s="16">
        <v>174.150589</v>
      </c>
      <c r="C246" s="16">
        <v>888.7009888</v>
      </c>
      <c r="D246" s="16">
        <v>-107.78897480000001</v>
      </c>
      <c r="E246" s="16">
        <v>-103.2175467</v>
      </c>
      <c r="F246" s="16">
        <v>3.1641375350000001</v>
      </c>
      <c r="G246" s="17">
        <v>-1.4447627750000001</v>
      </c>
      <c r="H246" s="18">
        <v>0</v>
      </c>
      <c r="I246" s="18">
        <v>0</v>
      </c>
      <c r="J246" s="19">
        <v>0</v>
      </c>
      <c r="K246" s="20">
        <v>0</v>
      </c>
      <c r="L246" s="19">
        <v>0</v>
      </c>
      <c r="M246" s="19">
        <v>0</v>
      </c>
      <c r="N246" s="21">
        <v>0.987049289</v>
      </c>
      <c r="O246" s="21">
        <v>0.95781066500000001</v>
      </c>
      <c r="P246" s="22">
        <v>-6.6783100999999997E-2</v>
      </c>
    </row>
    <row r="247" spans="1:16">
      <c r="A247" s="15">
        <v>46015</v>
      </c>
      <c r="B247" s="16">
        <v>174.1997528</v>
      </c>
      <c r="C247" s="16">
        <v>897.64013669999997</v>
      </c>
      <c r="D247" s="16">
        <v>-109.70616149999999</v>
      </c>
      <c r="E247" s="16">
        <v>-104.3263439</v>
      </c>
      <c r="F247" s="16">
        <v>2.8763540660000002</v>
      </c>
      <c r="G247" s="17">
        <v>-1.870359984</v>
      </c>
      <c r="H247" s="18">
        <v>0</v>
      </c>
      <c r="I247" s="18">
        <v>0</v>
      </c>
      <c r="J247" s="19">
        <v>0</v>
      </c>
      <c r="K247" s="20">
        <v>0</v>
      </c>
      <c r="L247" s="19">
        <v>0</v>
      </c>
      <c r="M247" s="19">
        <v>0</v>
      </c>
      <c r="N247" s="21">
        <v>0.987049289</v>
      </c>
      <c r="O247" s="21">
        <v>0.95781066500000001</v>
      </c>
      <c r="P247" s="22">
        <v>-6.6783100999999997E-2</v>
      </c>
    </row>
    <row r="248" spans="1:16">
      <c r="A248" s="15">
        <v>46017</v>
      </c>
      <c r="B248" s="16">
        <v>173.95390320000001</v>
      </c>
      <c r="C248" s="16">
        <v>893.95410159999994</v>
      </c>
      <c r="D248" s="16">
        <v>-109.1411914</v>
      </c>
      <c r="E248" s="16">
        <v>-105.0930073</v>
      </c>
      <c r="F248" s="16">
        <v>2.826945169</v>
      </c>
      <c r="G248" s="17">
        <v>-1.4319995190000001</v>
      </c>
      <c r="H248" s="18">
        <v>0</v>
      </c>
      <c r="I248" s="18">
        <v>0</v>
      </c>
      <c r="J248" s="19">
        <v>0</v>
      </c>
      <c r="K248" s="20">
        <v>0</v>
      </c>
      <c r="L248" s="19">
        <v>0</v>
      </c>
      <c r="M248" s="19">
        <v>0</v>
      </c>
      <c r="N248" s="21">
        <v>0.987049289</v>
      </c>
      <c r="O248" s="21">
        <v>0.95781066500000001</v>
      </c>
      <c r="P248" s="22">
        <v>-6.6783100999999997E-2</v>
      </c>
    </row>
    <row r="249" spans="1:16">
      <c r="A249" s="15">
        <v>46020</v>
      </c>
      <c r="B249" s="16">
        <v>172.78358460000001</v>
      </c>
      <c r="C249" s="16">
        <v>879.30847170000004</v>
      </c>
      <c r="D249" s="16">
        <v>-107.0899008</v>
      </c>
      <c r="E249" s="16">
        <v>-105.63621070000001</v>
      </c>
      <c r="F249" s="16">
        <v>2.484683279</v>
      </c>
      <c r="G249" s="17">
        <v>-0.58506052200000003</v>
      </c>
      <c r="H249" s="18">
        <v>0</v>
      </c>
      <c r="I249" s="18">
        <v>0</v>
      </c>
      <c r="J249" s="19">
        <v>0</v>
      </c>
      <c r="K249" s="20">
        <v>0</v>
      </c>
      <c r="L249" s="19">
        <v>0</v>
      </c>
      <c r="M249" s="19">
        <v>0</v>
      </c>
      <c r="N249" s="21">
        <v>0.987049289</v>
      </c>
      <c r="O249" s="21">
        <v>0.95781066500000001</v>
      </c>
      <c r="P249" s="22">
        <v>-6.6783100999999997E-2</v>
      </c>
    </row>
    <row r="250" spans="1:16">
      <c r="A250" s="15">
        <v>46021</v>
      </c>
      <c r="B250" s="16">
        <v>172.51805110000001</v>
      </c>
      <c r="C250" s="16">
        <v>871.66040039999996</v>
      </c>
      <c r="D250" s="16">
        <v>-105.6730828</v>
      </c>
      <c r="E250" s="16">
        <v>-105.6676782</v>
      </c>
      <c r="F250" s="16">
        <v>2.4823657250000002</v>
      </c>
      <c r="G250" s="17">
        <v>-2.1771780000000001E-3</v>
      </c>
      <c r="H250" s="18">
        <v>0</v>
      </c>
      <c r="I250" s="18">
        <v>0</v>
      </c>
      <c r="J250" s="19">
        <v>0</v>
      </c>
      <c r="K250" s="20">
        <v>0</v>
      </c>
      <c r="L250" s="19">
        <v>0</v>
      </c>
      <c r="M250" s="19">
        <v>0</v>
      </c>
      <c r="N250" s="21">
        <v>0.987049289</v>
      </c>
      <c r="O250" s="21">
        <v>0.95781066500000001</v>
      </c>
      <c r="P250" s="22">
        <v>-6.6783100999999997E-2</v>
      </c>
    </row>
    <row r="251" spans="1:16">
      <c r="A251" s="15">
        <v>46022</v>
      </c>
      <c r="B251" s="16">
        <v>170.6199799</v>
      </c>
      <c r="C251" s="16">
        <v>866.31860349999999</v>
      </c>
      <c r="D251" s="16">
        <v>-106.39611530000001</v>
      </c>
      <c r="E251" s="16">
        <v>-105.9917928</v>
      </c>
      <c r="F251" s="16">
        <v>2.2775989820000002</v>
      </c>
      <c r="G251" s="17">
        <v>-0.17752141399999999</v>
      </c>
      <c r="H251" s="18">
        <v>0</v>
      </c>
      <c r="I251" s="18">
        <v>0</v>
      </c>
      <c r="J251" s="19">
        <v>0</v>
      </c>
      <c r="K251" s="20">
        <v>0</v>
      </c>
      <c r="L251" s="19">
        <v>0</v>
      </c>
      <c r="M251" s="19">
        <v>0</v>
      </c>
      <c r="N251" s="21">
        <v>0.987049289</v>
      </c>
      <c r="O251" s="21">
        <v>0.95781066500000001</v>
      </c>
      <c r="P251" s="22">
        <v>-6.6783100999999997E-2</v>
      </c>
    </row>
  </sheetData>
  <conditionalFormatting sqref="G2:G25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251">
    <cfRule type="expression" dxfId="0" priority="2">
      <formula>M2&lt;0</formula>
    </cfRule>
  </conditionalFormatting>
  <conditionalFormatting sqref="P2:P251">
    <cfRule type="dataBar" priority="3">
      <dataBar>
        <cfvo type="min"/>
        <cfvo type="max"/>
        <color rgb="FFC00000"/>
      </dataBar>
    </cfRule>
    <cfRule type="dataBar" priority="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{2EB4D1D5-5BA8-BCFF-DD6E-D1F8A495B61F}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EB4D1D5-5BA8-BCFF-DD6E-D1F8A495B61F}">
            <x14:dataBar>
              <x14:cfvo type="min"/>
              <x14:cfvo type="max"/>
              <x14:negativeFillColor auto="1"/>
              <x14:axisColor auto="1"/>
            </x14:dataBar>
          </x14:cfRule>
          <xm:sqref>P2:P251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workbookViewId="0"/>
  </sheetViews>
  <sheetFormatPr defaultRowHeight="13.8"/>
  <cols>
    <col min="1" max="1" width="28" customWidth="1"/>
    <col min="2" max="3" width="18" customWidth="1"/>
    <col min="4" max="4" width="28" customWidth="1"/>
    <col min="5" max="6" width="18" customWidth="1"/>
  </cols>
  <sheetData>
    <row r="1" spans="1:6" ht="19.2">
      <c r="A1" s="40" t="s">
        <v>62</v>
      </c>
      <c r="B1" s="40"/>
      <c r="C1" s="40"/>
      <c r="D1" s="40"/>
      <c r="E1" s="40"/>
      <c r="F1" s="40"/>
    </row>
    <row r="3" spans="1:6">
      <c r="A3" s="23" t="s">
        <v>63</v>
      </c>
      <c r="B3" s="23" t="s">
        <v>20</v>
      </c>
      <c r="D3" s="23" t="s">
        <v>64</v>
      </c>
      <c r="E3" s="23" t="s">
        <v>20</v>
      </c>
    </row>
    <row r="4" spans="1:6">
      <c r="A4" t="s">
        <v>6</v>
      </c>
      <c r="B4" s="1" t="s">
        <v>17</v>
      </c>
      <c r="D4" t="s">
        <v>65</v>
      </c>
      <c r="E4" s="1">
        <v>9.9299999999999996E-4</v>
      </c>
    </row>
    <row r="5" spans="1:6">
      <c r="A5" t="s">
        <v>21</v>
      </c>
      <c r="B5" s="1" t="s">
        <v>22</v>
      </c>
      <c r="D5" t="s">
        <v>66</v>
      </c>
      <c r="E5" s="1">
        <v>1.6000000000000001E-4</v>
      </c>
    </row>
    <row r="6" spans="1:6">
      <c r="A6" t="s">
        <v>23</v>
      </c>
      <c r="B6" s="1">
        <v>2024</v>
      </c>
      <c r="D6" t="s">
        <v>33</v>
      </c>
      <c r="E6" s="25">
        <v>1E-3</v>
      </c>
    </row>
    <row r="7" spans="1:6">
      <c r="A7" t="s">
        <v>24</v>
      </c>
      <c r="B7" s="1">
        <v>2025</v>
      </c>
      <c r="D7" t="s">
        <v>14</v>
      </c>
      <c r="E7" s="1">
        <v>15</v>
      </c>
    </row>
    <row r="8" spans="1:6">
      <c r="A8" t="s">
        <v>27</v>
      </c>
      <c r="B8" s="1">
        <v>86.451400214109199</v>
      </c>
      <c r="D8" t="s">
        <v>15</v>
      </c>
      <c r="E8" s="1">
        <v>15</v>
      </c>
    </row>
    <row r="9" spans="1:6">
      <c r="A9" t="s">
        <v>28</v>
      </c>
      <c r="B9" s="24">
        <v>0.219970683092472</v>
      </c>
    </row>
    <row r="10" spans="1:6">
      <c r="A10" t="s">
        <v>67</v>
      </c>
      <c r="B10" s="24">
        <v>12.3</v>
      </c>
    </row>
    <row r="11" spans="1:6">
      <c r="A11" t="s">
        <v>30</v>
      </c>
      <c r="B11" s="1">
        <v>12</v>
      </c>
    </row>
    <row r="12" spans="1:6">
      <c r="A12" t="s">
        <v>31</v>
      </c>
      <c r="B12" s="1">
        <v>2</v>
      </c>
    </row>
    <row r="13" spans="1:6">
      <c r="A13" t="s">
        <v>32</v>
      </c>
      <c r="B13" s="1">
        <v>0.5</v>
      </c>
    </row>
    <row r="15" spans="1:6">
      <c r="A15" s="41" t="s">
        <v>68</v>
      </c>
      <c r="B15" s="41"/>
      <c r="C15" s="41"/>
      <c r="D15" s="41"/>
      <c r="E15" s="41"/>
      <c r="F15" s="41"/>
    </row>
    <row r="16" spans="1:6">
      <c r="A16" s="41"/>
      <c r="B16" s="41"/>
      <c r="C16" s="41"/>
      <c r="D16" s="41"/>
      <c r="E16" s="41"/>
      <c r="F16" s="41"/>
    </row>
    <row r="17" spans="1:6">
      <c r="A17" s="41"/>
      <c r="B17" s="41"/>
      <c r="C17" s="41"/>
      <c r="D17" s="41"/>
      <c r="E17" s="41"/>
      <c r="F17" s="41"/>
    </row>
    <row r="18" spans="1:6">
      <c r="A18" s="41"/>
      <c r="B18" s="41"/>
      <c r="C18" s="41"/>
      <c r="D18" s="41"/>
      <c r="E18" s="41"/>
      <c r="F18" s="41"/>
    </row>
    <row r="19" spans="1:6">
      <c r="A19" s="41"/>
      <c r="B19" s="41"/>
      <c r="C19" s="41"/>
      <c r="D19" s="41"/>
      <c r="E19" s="41"/>
      <c r="F19" s="41"/>
    </row>
  </sheetData>
  <mergeCells count="2">
    <mergeCell ref="A1:F1"/>
    <mergeCell ref="A15:F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51"/>
  <sheetViews>
    <sheetView workbookViewId="0"/>
  </sheetViews>
  <sheetFormatPr defaultRowHeight="13.8"/>
  <sheetData>
    <row r="1" spans="1:8">
      <c r="A1" t="s">
        <v>46</v>
      </c>
      <c r="B1" t="s">
        <v>69</v>
      </c>
      <c r="C1" t="s">
        <v>61</v>
      </c>
      <c r="D1" t="s">
        <v>70</v>
      </c>
      <c r="F1" t="s">
        <v>71</v>
      </c>
      <c r="G1" t="s">
        <v>72</v>
      </c>
      <c r="H1" t="s">
        <v>73</v>
      </c>
    </row>
    <row r="2" spans="1:8">
      <c r="A2" s="15">
        <v>45659</v>
      </c>
      <c r="B2" s="21">
        <v>1</v>
      </c>
      <c r="C2" s="26">
        <v>0</v>
      </c>
      <c r="D2" s="17">
        <v>-1.4569566549999999</v>
      </c>
      <c r="F2" t="s">
        <v>74</v>
      </c>
      <c r="G2" s="26">
        <v>6.4100000000000004E-2</v>
      </c>
      <c r="H2" s="17">
        <v>0.81799999999999995</v>
      </c>
    </row>
    <row r="3" spans="1:8">
      <c r="A3" s="15">
        <v>45660</v>
      </c>
      <c r="B3" s="21">
        <v>1</v>
      </c>
      <c r="C3" s="26">
        <v>0</v>
      </c>
      <c r="D3" s="17">
        <v>-1.342125E-3</v>
      </c>
      <c r="F3" t="s">
        <v>75</v>
      </c>
      <c r="G3" s="26">
        <v>-4.2189334976195203E-2</v>
      </c>
      <c r="H3" s="17">
        <v>-0.316704980282</v>
      </c>
    </row>
    <row r="4" spans="1:8">
      <c r="A4" s="15">
        <v>45663</v>
      </c>
      <c r="B4" s="21">
        <v>1</v>
      </c>
      <c r="C4" s="26">
        <v>0</v>
      </c>
      <c r="D4" s="17">
        <v>0.582364891</v>
      </c>
    </row>
    <row r="5" spans="1:8">
      <c r="A5" s="15">
        <v>45664</v>
      </c>
      <c r="B5" s="21">
        <v>1</v>
      </c>
      <c r="C5" s="26">
        <v>0</v>
      </c>
      <c r="D5" s="17">
        <v>1.0881074159999999</v>
      </c>
    </row>
    <row r="6" spans="1:8">
      <c r="A6" s="15">
        <v>45665</v>
      </c>
      <c r="B6" s="21">
        <v>1</v>
      </c>
      <c r="C6" s="26">
        <v>0</v>
      </c>
      <c r="D6" s="17">
        <v>0.60654434300000004</v>
      </c>
    </row>
    <row r="7" spans="1:8">
      <c r="A7" s="15">
        <v>45667</v>
      </c>
      <c r="B7" s="21">
        <v>1</v>
      </c>
      <c r="C7" s="26">
        <v>0</v>
      </c>
      <c r="D7" s="17">
        <v>1.9738702349999999</v>
      </c>
    </row>
    <row r="8" spans="1:8">
      <c r="A8" s="15">
        <v>45670</v>
      </c>
      <c r="B8" s="21">
        <v>1</v>
      </c>
      <c r="C8" s="26">
        <v>0</v>
      </c>
      <c r="D8" s="17">
        <v>1.716752609</v>
      </c>
    </row>
    <row r="9" spans="1:8">
      <c r="A9" s="15">
        <v>45671</v>
      </c>
      <c r="B9" s="21">
        <v>1</v>
      </c>
      <c r="C9" s="26">
        <v>0</v>
      </c>
      <c r="D9" s="17">
        <v>1.5780857429999999</v>
      </c>
    </row>
    <row r="10" spans="1:8">
      <c r="A10" s="15">
        <v>45672</v>
      </c>
      <c r="B10" s="21">
        <v>1</v>
      </c>
      <c r="C10" s="26">
        <v>0</v>
      </c>
      <c r="D10" s="17">
        <v>-1.0115812E-2</v>
      </c>
    </row>
    <row r="11" spans="1:8">
      <c r="A11" s="15">
        <v>45673</v>
      </c>
      <c r="B11" s="21">
        <v>1</v>
      </c>
      <c r="C11" s="26">
        <v>0</v>
      </c>
      <c r="D11" s="17">
        <v>-2.619945108</v>
      </c>
    </row>
    <row r="12" spans="1:8">
      <c r="A12" s="15">
        <v>45674</v>
      </c>
      <c r="B12" s="21">
        <v>1.005669162</v>
      </c>
      <c r="C12" s="26">
        <v>0</v>
      </c>
      <c r="D12" s="17">
        <v>-1.6655746199999999</v>
      </c>
    </row>
    <row r="13" spans="1:8">
      <c r="A13" s="15">
        <v>45678</v>
      </c>
      <c r="B13" s="21">
        <v>1.0082350360000001</v>
      </c>
      <c r="C13" s="26">
        <v>0</v>
      </c>
      <c r="D13" s="17">
        <v>-1.269355206</v>
      </c>
    </row>
    <row r="14" spans="1:8">
      <c r="A14" s="15">
        <v>45679</v>
      </c>
      <c r="B14" s="21">
        <v>1.0150254480000001</v>
      </c>
      <c r="C14" s="26">
        <v>0</v>
      </c>
      <c r="D14" s="17">
        <v>-0.76958719799999997</v>
      </c>
    </row>
    <row r="15" spans="1:8">
      <c r="A15" s="15">
        <v>45680</v>
      </c>
      <c r="B15" s="21">
        <v>1.0211781209999999</v>
      </c>
      <c r="C15" s="26">
        <v>0</v>
      </c>
      <c r="D15" s="17">
        <v>-0.336151272</v>
      </c>
    </row>
    <row r="16" spans="1:8">
      <c r="A16" s="15">
        <v>45681</v>
      </c>
      <c r="B16" s="21">
        <v>1.0201569429999999</v>
      </c>
      <c r="C16" s="26">
        <v>-1E-3</v>
      </c>
      <c r="D16" s="17">
        <v>-2.0897352589999998</v>
      </c>
    </row>
    <row r="17" spans="1:4">
      <c r="A17" s="15">
        <v>45684</v>
      </c>
      <c r="B17" s="21">
        <v>1.026353751</v>
      </c>
      <c r="C17" s="26">
        <v>0</v>
      </c>
      <c r="D17" s="17">
        <v>-1.424957078</v>
      </c>
    </row>
    <row r="18" spans="1:4">
      <c r="A18" s="15">
        <v>45685</v>
      </c>
      <c r="B18" s="21">
        <v>1.003005087</v>
      </c>
      <c r="C18" s="26">
        <v>-2.2749139000000002E-2</v>
      </c>
      <c r="D18" s="17">
        <v>-1.801076004</v>
      </c>
    </row>
    <row r="19" spans="1:4">
      <c r="A19" s="15">
        <v>45686</v>
      </c>
      <c r="B19" s="21">
        <v>1.0023640380000001</v>
      </c>
      <c r="C19" s="26">
        <v>-2.3373727E-2</v>
      </c>
      <c r="D19" s="17">
        <v>-1.4912864720000001</v>
      </c>
    </row>
    <row r="20" spans="1:4">
      <c r="A20" s="15">
        <v>45687</v>
      </c>
      <c r="B20" s="21">
        <v>1.0121384980000001</v>
      </c>
      <c r="C20" s="26">
        <v>-1.3850247E-2</v>
      </c>
      <c r="D20" s="17">
        <v>-1.002403393</v>
      </c>
    </row>
    <row r="21" spans="1:4">
      <c r="A21" s="15">
        <v>45688</v>
      </c>
      <c r="B21" s="21">
        <v>1.017939529</v>
      </c>
      <c r="C21" s="26">
        <v>-8.1981689999999999E-3</v>
      </c>
      <c r="D21" s="17">
        <v>-0.68097515799999997</v>
      </c>
    </row>
    <row r="22" spans="1:4">
      <c r="A22" s="15">
        <v>45691</v>
      </c>
      <c r="B22" s="21">
        <v>1.012038912</v>
      </c>
      <c r="C22" s="26">
        <v>-1.3947276E-2</v>
      </c>
      <c r="D22" s="17">
        <v>-0.80223162800000003</v>
      </c>
    </row>
    <row r="23" spans="1:4">
      <c r="A23" s="15">
        <v>45692</v>
      </c>
      <c r="B23" s="21">
        <v>1.009576907</v>
      </c>
      <c r="C23" s="26">
        <v>-1.6346064E-2</v>
      </c>
      <c r="D23" s="17">
        <v>-0.78023321499999998</v>
      </c>
    </row>
    <row r="24" spans="1:4">
      <c r="A24" s="15">
        <v>45693</v>
      </c>
      <c r="B24" s="21">
        <v>1.004967988</v>
      </c>
      <c r="C24" s="26">
        <v>-2.0836639000000001E-2</v>
      </c>
      <c r="D24" s="17">
        <v>-0.83504774599999998</v>
      </c>
    </row>
    <row r="25" spans="1:4">
      <c r="A25" s="15">
        <v>45694</v>
      </c>
      <c r="B25" s="21">
        <v>1.0014455680000001</v>
      </c>
      <c r="C25" s="26">
        <v>-2.4268614000000001E-2</v>
      </c>
      <c r="D25" s="17">
        <v>-0.84933495699999995</v>
      </c>
    </row>
    <row r="26" spans="1:4">
      <c r="A26" s="15">
        <v>45695</v>
      </c>
      <c r="B26" s="21">
        <v>0.99302541099999997</v>
      </c>
      <c r="C26" s="26">
        <v>-3.2472566000000001E-2</v>
      </c>
      <c r="D26" s="17">
        <v>-1.150031214</v>
      </c>
    </row>
    <row r="27" spans="1:4">
      <c r="A27" s="15">
        <v>45698</v>
      </c>
      <c r="B27" s="21">
        <v>0.99760236499999999</v>
      </c>
      <c r="C27" s="26">
        <v>-2.8013135000000002E-2</v>
      </c>
      <c r="D27" s="17">
        <v>-1.1083299980000001</v>
      </c>
    </row>
    <row r="28" spans="1:4">
      <c r="A28" s="15">
        <v>45699</v>
      </c>
      <c r="B28" s="21">
        <v>0.99658261699999995</v>
      </c>
      <c r="C28" s="26">
        <v>-2.9006699E-2</v>
      </c>
      <c r="D28" s="17">
        <v>-1.0310124380000001</v>
      </c>
    </row>
    <row r="29" spans="1:4">
      <c r="A29" s="15">
        <v>45700</v>
      </c>
      <c r="B29" s="21">
        <v>0.99766507199999999</v>
      </c>
      <c r="C29" s="26">
        <v>-2.7952037999999998E-2</v>
      </c>
      <c r="D29" s="17">
        <v>-0.847065595</v>
      </c>
    </row>
    <row r="30" spans="1:4">
      <c r="A30" s="15">
        <v>45701</v>
      </c>
      <c r="B30" s="21">
        <v>1.0001956599999999</v>
      </c>
      <c r="C30" s="26">
        <v>-2.5486427999999998E-2</v>
      </c>
      <c r="D30" s="17">
        <v>-0.47250519000000002</v>
      </c>
    </row>
    <row r="31" spans="1:4">
      <c r="A31" s="15">
        <v>45702</v>
      </c>
      <c r="B31" s="21">
        <v>0.999195465</v>
      </c>
      <c r="C31" s="26">
        <v>-2.6460941000000002E-2</v>
      </c>
      <c r="D31" s="17">
        <v>-0.56664320000000001</v>
      </c>
    </row>
    <row r="32" spans="1:4">
      <c r="A32" s="15">
        <v>45706</v>
      </c>
      <c r="B32" s="21">
        <v>0.999195465</v>
      </c>
      <c r="C32" s="26">
        <v>-2.6460941000000002E-2</v>
      </c>
      <c r="D32" s="17">
        <v>-0.120325774</v>
      </c>
    </row>
    <row r="33" spans="1:4">
      <c r="A33" s="15">
        <v>45707</v>
      </c>
      <c r="B33" s="21">
        <v>0.999195465</v>
      </c>
      <c r="C33" s="26">
        <v>-2.6460941000000002E-2</v>
      </c>
      <c r="D33" s="17">
        <v>2.7771580170000001</v>
      </c>
    </row>
    <row r="34" spans="1:4">
      <c r="A34" s="15">
        <v>45708</v>
      </c>
      <c r="B34" s="21">
        <v>0.95938337399999996</v>
      </c>
      <c r="C34" s="26">
        <v>-6.5250773999999997E-2</v>
      </c>
      <c r="D34" s="17">
        <v>2.8225494900000001</v>
      </c>
    </row>
    <row r="35" spans="1:4">
      <c r="A35" s="15">
        <v>45709</v>
      </c>
      <c r="B35" s="21">
        <v>0.954592204</v>
      </c>
      <c r="C35" s="26">
        <v>-6.9918920999999995E-2</v>
      </c>
      <c r="D35" s="17">
        <v>2.097767642</v>
      </c>
    </row>
    <row r="36" spans="1:4">
      <c r="A36" s="15">
        <v>45712</v>
      </c>
      <c r="B36" s="21">
        <v>0.95845972999999995</v>
      </c>
      <c r="C36" s="26">
        <v>-6.6150702000000006E-2</v>
      </c>
      <c r="D36" s="17">
        <v>1.553554294</v>
      </c>
    </row>
    <row r="37" spans="1:4">
      <c r="A37" s="15">
        <v>45713</v>
      </c>
      <c r="B37" s="21">
        <v>0.95358385999999995</v>
      </c>
      <c r="C37" s="26">
        <v>-7.0901373000000004E-2</v>
      </c>
      <c r="D37" s="17">
        <v>1.38371614</v>
      </c>
    </row>
    <row r="38" spans="1:4">
      <c r="A38" s="15">
        <v>45714</v>
      </c>
      <c r="B38" s="21">
        <v>0.96031667200000004</v>
      </c>
      <c r="C38" s="26">
        <v>-6.4341440999999999E-2</v>
      </c>
      <c r="D38" s="17">
        <v>1.0108907300000001</v>
      </c>
    </row>
    <row r="39" spans="1:4">
      <c r="A39" s="15">
        <v>45715</v>
      </c>
      <c r="B39" s="21">
        <v>0.97400903900000002</v>
      </c>
      <c r="C39" s="26">
        <v>-5.1000653999999999E-2</v>
      </c>
      <c r="D39" s="17">
        <v>0.52527701699999996</v>
      </c>
    </row>
    <row r="40" spans="1:4">
      <c r="A40" s="15">
        <v>45716</v>
      </c>
      <c r="B40" s="21">
        <v>0.97149018300000001</v>
      </c>
      <c r="C40" s="26">
        <v>-5.3454833E-2</v>
      </c>
      <c r="D40" s="17">
        <v>0.47511289699999998</v>
      </c>
    </row>
    <row r="41" spans="1:4">
      <c r="A41" s="15">
        <v>45719</v>
      </c>
      <c r="B41" s="21">
        <v>0.97051869300000004</v>
      </c>
      <c r="C41" s="26">
        <v>-5.4401378E-2</v>
      </c>
      <c r="D41" s="17">
        <v>0.53709046999999999</v>
      </c>
    </row>
    <row r="42" spans="1:4">
      <c r="A42" s="15">
        <v>45720</v>
      </c>
      <c r="B42" s="21">
        <v>0.97051869300000004</v>
      </c>
      <c r="C42" s="26">
        <v>-5.4401378E-2</v>
      </c>
      <c r="D42" s="17">
        <v>0.93364847200000001</v>
      </c>
    </row>
    <row r="43" spans="1:4">
      <c r="A43" s="15">
        <v>45721</v>
      </c>
      <c r="B43" s="21">
        <v>0.97051869300000004</v>
      </c>
      <c r="C43" s="26">
        <v>-5.4401378E-2</v>
      </c>
      <c r="D43" s="17">
        <v>0.64098045100000001</v>
      </c>
    </row>
    <row r="44" spans="1:4">
      <c r="A44" s="15">
        <v>45722</v>
      </c>
      <c r="B44" s="21">
        <v>0.97051869300000004</v>
      </c>
      <c r="C44" s="26">
        <v>-5.4401378E-2</v>
      </c>
      <c r="D44" s="17">
        <v>0.52457324000000005</v>
      </c>
    </row>
    <row r="45" spans="1:4">
      <c r="A45" s="15">
        <v>45723</v>
      </c>
      <c r="B45" s="21">
        <v>0.97051869300000004</v>
      </c>
      <c r="C45" s="26">
        <v>-5.4401378E-2</v>
      </c>
      <c r="D45" s="17">
        <v>1.362774833</v>
      </c>
    </row>
    <row r="46" spans="1:4">
      <c r="A46" s="15">
        <v>45726</v>
      </c>
      <c r="B46" s="21">
        <v>0.97051869300000004</v>
      </c>
      <c r="C46" s="26">
        <v>-5.4401378E-2</v>
      </c>
      <c r="D46" s="17">
        <v>1.6566189490000001</v>
      </c>
    </row>
    <row r="47" spans="1:4">
      <c r="A47" s="15">
        <v>45727</v>
      </c>
      <c r="B47" s="21">
        <v>0.97051869300000004</v>
      </c>
      <c r="C47" s="26">
        <v>-5.4401378E-2</v>
      </c>
      <c r="D47" s="17">
        <v>-0.89441430300000002</v>
      </c>
    </row>
    <row r="48" spans="1:4">
      <c r="A48" s="15">
        <v>45728</v>
      </c>
      <c r="B48" s="21">
        <v>0.97051869300000004</v>
      </c>
      <c r="C48" s="26">
        <v>-5.4401378E-2</v>
      </c>
      <c r="D48" s="17">
        <v>-1.356540912</v>
      </c>
    </row>
    <row r="49" spans="1:4">
      <c r="A49" s="15">
        <v>45729</v>
      </c>
      <c r="B49" s="21">
        <v>0.97051869300000004</v>
      </c>
      <c r="C49" s="26">
        <v>-5.4401378E-2</v>
      </c>
      <c r="D49" s="17">
        <v>-1.0715689879999999</v>
      </c>
    </row>
    <row r="50" spans="1:4">
      <c r="A50" s="15">
        <v>45730</v>
      </c>
      <c r="B50" s="21">
        <v>0.97051869300000004</v>
      </c>
      <c r="C50" s="26">
        <v>-5.4401378E-2</v>
      </c>
      <c r="D50" s="17">
        <v>-1.1010906680000001</v>
      </c>
    </row>
    <row r="51" spans="1:4">
      <c r="A51" s="15">
        <v>45733</v>
      </c>
      <c r="B51" s="21">
        <v>0.97051869300000004</v>
      </c>
      <c r="C51" s="26">
        <v>-5.4401378E-2</v>
      </c>
      <c r="D51" s="17">
        <v>-0.80834264099999997</v>
      </c>
    </row>
    <row r="52" spans="1:4">
      <c r="A52" s="15">
        <v>45734</v>
      </c>
      <c r="B52" s="21">
        <v>0.97051869300000004</v>
      </c>
      <c r="C52" s="26">
        <v>-5.4401378E-2</v>
      </c>
      <c r="D52" s="17">
        <v>-0.92668405899999995</v>
      </c>
    </row>
    <row r="53" spans="1:4">
      <c r="A53" s="15">
        <v>45735</v>
      </c>
      <c r="B53" s="21">
        <v>0.97051869300000004</v>
      </c>
      <c r="C53" s="26">
        <v>-5.4401378E-2</v>
      </c>
      <c r="D53" s="17">
        <v>-0.63487882699999998</v>
      </c>
    </row>
    <row r="54" spans="1:4">
      <c r="A54" s="15">
        <v>45736</v>
      </c>
      <c r="B54" s="21">
        <v>0.97051869300000004</v>
      </c>
      <c r="C54" s="26">
        <v>-5.4401378E-2</v>
      </c>
      <c r="D54" s="17">
        <v>-0.97148741800000005</v>
      </c>
    </row>
    <row r="55" spans="1:4">
      <c r="A55" s="15">
        <v>45737</v>
      </c>
      <c r="B55" s="21">
        <v>0.97051869300000004</v>
      </c>
      <c r="C55" s="26">
        <v>-5.4401378E-2</v>
      </c>
      <c r="D55" s="17">
        <v>-1.235067339</v>
      </c>
    </row>
    <row r="56" spans="1:4">
      <c r="A56" s="15">
        <v>45740</v>
      </c>
      <c r="B56" s="21">
        <v>0.97051869300000004</v>
      </c>
      <c r="C56" s="26">
        <v>-5.4401378E-2</v>
      </c>
      <c r="D56" s="17">
        <v>-0.42464517499999999</v>
      </c>
    </row>
    <row r="57" spans="1:4">
      <c r="A57" s="15">
        <v>45741</v>
      </c>
      <c r="B57" s="21">
        <v>0.97051869300000004</v>
      </c>
      <c r="C57" s="26">
        <v>-5.4401378E-2</v>
      </c>
      <c r="D57" s="17">
        <v>-0.96168874299999996</v>
      </c>
    </row>
    <row r="58" spans="1:4">
      <c r="A58" s="15">
        <v>45742</v>
      </c>
      <c r="B58" s="21">
        <v>0.97051869300000004</v>
      </c>
      <c r="C58" s="26">
        <v>-5.4401378E-2</v>
      </c>
      <c r="D58" s="17">
        <v>0.299158335</v>
      </c>
    </row>
    <row r="59" spans="1:4">
      <c r="A59" s="15">
        <v>45743</v>
      </c>
      <c r="B59" s="21">
        <v>0.97051869300000004</v>
      </c>
      <c r="C59" s="26">
        <v>-5.4401378E-2</v>
      </c>
      <c r="D59" s="17">
        <v>0.232373095</v>
      </c>
    </row>
    <row r="60" spans="1:4">
      <c r="A60" s="15">
        <v>45744</v>
      </c>
      <c r="B60" s="21">
        <v>0.97051869300000004</v>
      </c>
      <c r="C60" s="26">
        <v>-5.4401378E-2</v>
      </c>
      <c r="D60" s="17">
        <v>-0.37289960599999999</v>
      </c>
    </row>
    <row r="61" spans="1:4">
      <c r="A61" s="15">
        <v>45747</v>
      </c>
      <c r="B61" s="21">
        <v>0.97051869300000004</v>
      </c>
      <c r="C61" s="26">
        <v>-5.4401378E-2</v>
      </c>
      <c r="D61" s="17">
        <v>1.369274857</v>
      </c>
    </row>
    <row r="62" spans="1:4">
      <c r="A62" s="15">
        <v>45748</v>
      </c>
      <c r="B62" s="21">
        <v>0.97051869300000004</v>
      </c>
      <c r="C62" s="26">
        <v>-5.4401378E-2</v>
      </c>
      <c r="D62" s="17">
        <v>-9.9040526000000004E-2</v>
      </c>
    </row>
    <row r="63" spans="1:4">
      <c r="A63" s="15">
        <v>45749</v>
      </c>
      <c r="B63" s="21">
        <v>0.97051869300000004</v>
      </c>
      <c r="C63" s="26">
        <v>-5.4401378E-2</v>
      </c>
      <c r="D63" s="17">
        <v>-1.672887435</v>
      </c>
    </row>
    <row r="64" spans="1:4">
      <c r="A64" s="15">
        <v>45750</v>
      </c>
      <c r="B64" s="21">
        <v>0.97051869300000004</v>
      </c>
      <c r="C64" s="26">
        <v>-5.4401378E-2</v>
      </c>
      <c r="D64" s="17">
        <v>-2.1223795239999999</v>
      </c>
    </row>
    <row r="65" spans="1:4">
      <c r="A65" s="15">
        <v>45751</v>
      </c>
      <c r="B65" s="21">
        <v>0.95622352099999997</v>
      </c>
      <c r="C65" s="26">
        <v>-6.8329492000000006E-2</v>
      </c>
      <c r="D65" s="17">
        <v>-2.3934948519999999</v>
      </c>
    </row>
    <row r="66" spans="1:4">
      <c r="A66" s="15">
        <v>45754</v>
      </c>
      <c r="B66" s="21">
        <v>0.97036911100000001</v>
      </c>
      <c r="C66" s="26">
        <v>-5.4547118999999998E-2</v>
      </c>
      <c r="D66" s="17">
        <v>-1.026937692</v>
      </c>
    </row>
    <row r="67" spans="1:4">
      <c r="A67" s="15">
        <v>45755</v>
      </c>
      <c r="B67" s="21">
        <v>0.94302667600000001</v>
      </c>
      <c r="C67" s="26">
        <v>-8.1187480000000006E-2</v>
      </c>
      <c r="D67" s="17">
        <v>-2.1582207950000001</v>
      </c>
    </row>
    <row r="68" spans="1:4">
      <c r="A68" s="15">
        <v>45756</v>
      </c>
      <c r="B68" s="21">
        <v>0.98596017199999997</v>
      </c>
      <c r="C68" s="26">
        <v>-3.9356389999999998E-2</v>
      </c>
      <c r="D68" s="17">
        <v>0.36320477000000001</v>
      </c>
    </row>
    <row r="69" spans="1:4">
      <c r="A69" s="15">
        <v>45757</v>
      </c>
      <c r="B69" s="21">
        <v>0.98497421200000002</v>
      </c>
      <c r="C69" s="26">
        <v>-4.0317034000000002E-2</v>
      </c>
      <c r="D69" s="17">
        <v>-1.008859827</v>
      </c>
    </row>
    <row r="70" spans="1:4">
      <c r="A70" s="15">
        <v>45758</v>
      </c>
      <c r="B70" s="21">
        <v>0.98497421200000002</v>
      </c>
      <c r="C70" s="26">
        <v>-4.0317034000000002E-2</v>
      </c>
      <c r="D70" s="17">
        <v>-2.152980833</v>
      </c>
    </row>
    <row r="71" spans="1:4">
      <c r="A71" s="15">
        <v>45761</v>
      </c>
      <c r="B71" s="21">
        <v>0.98879625100000001</v>
      </c>
      <c r="C71" s="26">
        <v>-3.6593133E-2</v>
      </c>
      <c r="D71" s="17">
        <v>-1.5561267780000001</v>
      </c>
    </row>
    <row r="72" spans="1:4">
      <c r="A72" s="15">
        <v>45762</v>
      </c>
      <c r="B72" s="21">
        <v>0.98627830500000002</v>
      </c>
      <c r="C72" s="26">
        <v>-3.9046426000000002E-2</v>
      </c>
      <c r="D72" s="17">
        <v>-1.360409937</v>
      </c>
    </row>
    <row r="73" spans="1:4">
      <c r="A73" s="15">
        <v>45763</v>
      </c>
      <c r="B73" s="21">
        <v>0.976336812</v>
      </c>
      <c r="C73" s="26">
        <v>-4.8732651000000002E-2</v>
      </c>
      <c r="D73" s="17">
        <v>-1.4638547909999999</v>
      </c>
    </row>
    <row r="74" spans="1:4">
      <c r="A74" s="15">
        <v>45764</v>
      </c>
      <c r="B74" s="21">
        <v>0.97469555200000002</v>
      </c>
      <c r="C74" s="26">
        <v>-5.0331767999999999E-2</v>
      </c>
      <c r="D74" s="17">
        <v>-1.300955884</v>
      </c>
    </row>
    <row r="75" spans="1:4">
      <c r="A75" s="15">
        <v>45768</v>
      </c>
      <c r="B75" s="21">
        <v>0.97089449400000005</v>
      </c>
      <c r="C75" s="26">
        <v>-5.4035225999999999E-2</v>
      </c>
      <c r="D75" s="17">
        <v>-1.2239431510000001</v>
      </c>
    </row>
    <row r="76" spans="1:4">
      <c r="A76" s="15">
        <v>45769</v>
      </c>
      <c r="B76" s="21">
        <v>0.95958594600000002</v>
      </c>
      <c r="C76" s="26">
        <v>-6.5053403999999995E-2</v>
      </c>
      <c r="D76" s="17">
        <v>-1.367187229</v>
      </c>
    </row>
    <row r="77" spans="1:4">
      <c r="A77" s="15">
        <v>45770</v>
      </c>
      <c r="B77" s="21">
        <v>0.97171030400000002</v>
      </c>
      <c r="C77" s="26">
        <v>-5.3240362999999999E-2</v>
      </c>
      <c r="D77" s="17">
        <v>-0.77311846399999995</v>
      </c>
    </row>
    <row r="78" spans="1:4">
      <c r="A78" s="15">
        <v>45771</v>
      </c>
      <c r="B78" s="21">
        <v>0.994773091</v>
      </c>
      <c r="C78" s="26">
        <v>-3.0769761E-2</v>
      </c>
      <c r="D78" s="17">
        <v>0.236991804</v>
      </c>
    </row>
    <row r="79" spans="1:4">
      <c r="A79" s="15">
        <v>45772</v>
      </c>
      <c r="B79" s="21">
        <v>0.99377831800000005</v>
      </c>
      <c r="C79" s="26">
        <v>-3.1738991000000001E-2</v>
      </c>
      <c r="D79" s="17">
        <v>0.38921771599999999</v>
      </c>
    </row>
    <row r="80" spans="1:4">
      <c r="A80" s="15">
        <v>45775</v>
      </c>
      <c r="B80" s="21">
        <v>0.99377831800000005</v>
      </c>
      <c r="C80" s="26">
        <v>-3.1738991000000001E-2</v>
      </c>
      <c r="D80" s="17">
        <v>0.65725347300000003</v>
      </c>
    </row>
    <row r="81" spans="1:4">
      <c r="A81" s="15">
        <v>45776</v>
      </c>
      <c r="B81" s="21">
        <v>0.99377831800000005</v>
      </c>
      <c r="C81" s="26">
        <v>-3.1738991000000001E-2</v>
      </c>
      <c r="D81" s="17">
        <v>0.43915710800000002</v>
      </c>
    </row>
    <row r="82" spans="1:4">
      <c r="A82" s="15">
        <v>45777</v>
      </c>
      <c r="B82" s="21">
        <v>0.99377831800000005</v>
      </c>
      <c r="C82" s="26">
        <v>-3.1738991000000001E-2</v>
      </c>
      <c r="D82" s="17">
        <v>0.66717628799999995</v>
      </c>
    </row>
    <row r="83" spans="1:4">
      <c r="A83" s="15">
        <v>45778</v>
      </c>
      <c r="B83" s="21">
        <v>0.99377831800000005</v>
      </c>
      <c r="C83" s="26">
        <v>-3.1738991000000001E-2</v>
      </c>
      <c r="D83" s="17">
        <v>-0.24293484200000001</v>
      </c>
    </row>
    <row r="84" spans="1:4">
      <c r="A84" s="15">
        <v>45779</v>
      </c>
      <c r="B84" s="21">
        <v>0.99377831800000005</v>
      </c>
      <c r="C84" s="26">
        <v>-3.1738991000000001E-2</v>
      </c>
      <c r="D84" s="17">
        <v>0.78109172400000004</v>
      </c>
    </row>
    <row r="85" spans="1:4">
      <c r="A85" s="15">
        <v>45782</v>
      </c>
      <c r="B85" s="21">
        <v>0.99377831800000005</v>
      </c>
      <c r="C85" s="26">
        <v>-3.1738991000000001E-2</v>
      </c>
      <c r="D85" s="17">
        <v>0.49445987600000002</v>
      </c>
    </row>
    <row r="86" spans="1:4">
      <c r="A86" s="15">
        <v>45783</v>
      </c>
      <c r="B86" s="21">
        <v>0.99377831800000005</v>
      </c>
      <c r="C86" s="26">
        <v>-3.1738991000000001E-2</v>
      </c>
      <c r="D86" s="17">
        <v>0.64852611800000004</v>
      </c>
    </row>
    <row r="87" spans="1:4">
      <c r="A87" s="15">
        <v>45784</v>
      </c>
      <c r="B87" s="21">
        <v>0.99377831800000005</v>
      </c>
      <c r="C87" s="26">
        <v>-3.1738991000000001E-2</v>
      </c>
      <c r="D87" s="17">
        <v>1.337888789</v>
      </c>
    </row>
    <row r="88" spans="1:4">
      <c r="A88" s="15">
        <v>45785</v>
      </c>
      <c r="B88" s="21">
        <v>0.99377831800000005</v>
      </c>
      <c r="C88" s="26">
        <v>-3.1738991000000001E-2</v>
      </c>
      <c r="D88" s="17">
        <v>0.62239122599999996</v>
      </c>
    </row>
    <row r="89" spans="1:4">
      <c r="A89" s="15">
        <v>45786</v>
      </c>
      <c r="B89" s="21">
        <v>0.99377831800000005</v>
      </c>
      <c r="C89" s="26">
        <v>-3.1738991000000001E-2</v>
      </c>
      <c r="D89" s="17">
        <v>2.4753791679999999</v>
      </c>
    </row>
    <row r="90" spans="1:4">
      <c r="A90" s="15">
        <v>45789</v>
      </c>
      <c r="B90" s="21">
        <v>0.96049720800000005</v>
      </c>
      <c r="C90" s="26">
        <v>-6.4165539999999993E-2</v>
      </c>
      <c r="D90" s="17">
        <v>2.7545078909999998</v>
      </c>
    </row>
    <row r="91" spans="1:4">
      <c r="A91" s="15">
        <v>45790</v>
      </c>
      <c r="B91" s="21">
        <v>0.96603272699999998</v>
      </c>
      <c r="C91" s="26">
        <v>-5.8772156999999998E-2</v>
      </c>
      <c r="D91" s="17">
        <v>1.8137728479999999</v>
      </c>
    </row>
    <row r="92" spans="1:4">
      <c r="A92" s="15">
        <v>45791</v>
      </c>
      <c r="B92" s="21">
        <v>0.97378306800000003</v>
      </c>
      <c r="C92" s="26">
        <v>-5.1220821999999999E-2</v>
      </c>
      <c r="D92" s="17">
        <v>1.1906420879999999</v>
      </c>
    </row>
    <row r="93" spans="1:4">
      <c r="A93" s="15">
        <v>45792</v>
      </c>
      <c r="B93" s="21">
        <v>0.97516900500000003</v>
      </c>
      <c r="C93" s="26">
        <v>-4.9870471999999999E-2</v>
      </c>
      <c r="D93" s="17">
        <v>0.95191461300000002</v>
      </c>
    </row>
    <row r="94" spans="1:4">
      <c r="A94" s="15">
        <v>45793</v>
      </c>
      <c r="B94" s="21">
        <v>0.97523103300000002</v>
      </c>
      <c r="C94" s="26">
        <v>-4.9810036000000002E-2</v>
      </c>
      <c r="D94" s="17">
        <v>0.80297803700000003</v>
      </c>
    </row>
    <row r="95" spans="1:4">
      <c r="A95" s="15">
        <v>45796</v>
      </c>
      <c r="B95" s="21">
        <v>0.97125651999999996</v>
      </c>
      <c r="C95" s="26">
        <v>-5.3682496000000003E-2</v>
      </c>
      <c r="D95" s="17">
        <v>0.845753898</v>
      </c>
    </row>
    <row r="96" spans="1:4">
      <c r="A96" s="15">
        <v>45797</v>
      </c>
      <c r="B96" s="21">
        <v>0.96631595000000003</v>
      </c>
      <c r="C96" s="26">
        <v>-5.8496206000000002E-2</v>
      </c>
      <c r="D96" s="17">
        <v>0.928568481</v>
      </c>
    </row>
    <row r="97" spans="1:4">
      <c r="A97" s="15">
        <v>45798</v>
      </c>
      <c r="B97" s="21">
        <v>0.96754025099999996</v>
      </c>
      <c r="C97" s="26">
        <v>-5.7303342E-2</v>
      </c>
      <c r="D97" s="17">
        <v>0.73863342099999996</v>
      </c>
    </row>
    <row r="98" spans="1:4">
      <c r="A98" s="15">
        <v>45799</v>
      </c>
      <c r="B98" s="21">
        <v>0.98669320000000005</v>
      </c>
      <c r="C98" s="26">
        <v>-3.8642185000000003E-2</v>
      </c>
      <c r="D98" s="17">
        <v>-0.52072363399999999</v>
      </c>
    </row>
    <row r="99" spans="1:4">
      <c r="A99" s="15">
        <v>45800</v>
      </c>
      <c r="B99" s="21">
        <v>0.99926680599999995</v>
      </c>
      <c r="C99" s="26">
        <v>-2.6391431999999999E-2</v>
      </c>
      <c r="D99" s="17">
        <v>-1.382129731</v>
      </c>
    </row>
    <row r="100" spans="1:4">
      <c r="A100" s="15">
        <v>45804</v>
      </c>
      <c r="B100" s="21">
        <v>0.989067064</v>
      </c>
      <c r="C100" s="26">
        <v>-3.6329274000000002E-2</v>
      </c>
      <c r="D100" s="17">
        <v>-1.056912037</v>
      </c>
    </row>
    <row r="101" spans="1:4">
      <c r="A101" s="15">
        <v>45805</v>
      </c>
      <c r="B101" s="21">
        <v>0.98126095999999996</v>
      </c>
      <c r="C101" s="26">
        <v>-4.3934940999999998E-2</v>
      </c>
      <c r="D101" s="17">
        <v>-0.49050323800000001</v>
      </c>
    </row>
    <row r="102" spans="1:4">
      <c r="A102" s="15">
        <v>45806</v>
      </c>
      <c r="B102" s="21">
        <v>0.980279699</v>
      </c>
      <c r="C102" s="26">
        <v>-4.4891005999999997E-2</v>
      </c>
      <c r="D102" s="17">
        <v>8.3404570999999997E-2</v>
      </c>
    </row>
    <row r="103" spans="1:4">
      <c r="A103" s="15">
        <v>45807</v>
      </c>
      <c r="B103" s="21">
        <v>0.980279699</v>
      </c>
      <c r="C103" s="26">
        <v>-4.4891005999999997E-2</v>
      </c>
      <c r="D103" s="17">
        <v>-0.36019812800000001</v>
      </c>
    </row>
    <row r="104" spans="1:4">
      <c r="A104" s="15">
        <v>45810</v>
      </c>
      <c r="B104" s="21">
        <v>0.980279699</v>
      </c>
      <c r="C104" s="26">
        <v>-4.4891005999999997E-2</v>
      </c>
      <c r="D104" s="17">
        <v>0.23144811200000001</v>
      </c>
    </row>
    <row r="105" spans="1:4">
      <c r="A105" s="15">
        <v>45811</v>
      </c>
      <c r="B105" s="21">
        <v>0.980279699</v>
      </c>
      <c r="C105" s="26">
        <v>-4.4891005999999997E-2</v>
      </c>
      <c r="D105" s="17">
        <v>1.0161579270000001</v>
      </c>
    </row>
    <row r="106" spans="1:4">
      <c r="A106" s="15">
        <v>45812</v>
      </c>
      <c r="B106" s="21">
        <v>0.980279699</v>
      </c>
      <c r="C106" s="26">
        <v>-4.4891005999999997E-2</v>
      </c>
      <c r="D106" s="17">
        <v>1.7009713070000001</v>
      </c>
    </row>
    <row r="107" spans="1:4">
      <c r="A107" s="15">
        <v>45813</v>
      </c>
      <c r="B107" s="21">
        <v>0.980279699</v>
      </c>
      <c r="C107" s="26">
        <v>-4.4891005999999997E-2</v>
      </c>
      <c r="D107" s="17">
        <v>1.121413277</v>
      </c>
    </row>
    <row r="108" spans="1:4">
      <c r="A108" s="15">
        <v>45814</v>
      </c>
      <c r="B108" s="21">
        <v>0.980279699</v>
      </c>
      <c r="C108" s="26">
        <v>-4.4891005999999997E-2</v>
      </c>
      <c r="D108" s="17">
        <v>1.092192702</v>
      </c>
    </row>
    <row r="109" spans="1:4">
      <c r="A109" s="15">
        <v>45817</v>
      </c>
      <c r="B109" s="21">
        <v>0.980279699</v>
      </c>
      <c r="C109" s="26">
        <v>-4.4891005999999997E-2</v>
      </c>
      <c r="D109" s="17">
        <v>2.0347302479999998</v>
      </c>
    </row>
    <row r="110" spans="1:4">
      <c r="A110" s="15">
        <v>45818</v>
      </c>
      <c r="B110" s="21">
        <v>0.97116858299999997</v>
      </c>
      <c r="C110" s="26">
        <v>-5.3768175000000001E-2</v>
      </c>
      <c r="D110" s="17">
        <v>1.8957767750000001</v>
      </c>
    </row>
    <row r="111" spans="1:4">
      <c r="A111" s="15">
        <v>45819</v>
      </c>
      <c r="B111" s="21">
        <v>0.98453933699999996</v>
      </c>
      <c r="C111" s="26">
        <v>-4.0740743000000003E-2</v>
      </c>
      <c r="D111" s="17">
        <v>1.011136936</v>
      </c>
    </row>
    <row r="112" spans="1:4">
      <c r="A112" s="15">
        <v>45820</v>
      </c>
      <c r="B112" s="21">
        <v>0.98523364499999999</v>
      </c>
      <c r="C112" s="26">
        <v>-4.0064262000000003E-2</v>
      </c>
      <c r="D112" s="17">
        <v>0.82976757999999995</v>
      </c>
    </row>
    <row r="113" spans="1:4">
      <c r="A113" s="15">
        <v>45821</v>
      </c>
      <c r="B113" s="21">
        <v>0.99133443600000004</v>
      </c>
      <c r="C113" s="26">
        <v>-3.4120121000000003E-2</v>
      </c>
      <c r="D113" s="17">
        <v>0.32897764499999999</v>
      </c>
    </row>
    <row r="114" spans="1:4">
      <c r="A114" s="15">
        <v>45824</v>
      </c>
      <c r="B114" s="21">
        <v>0.99034310199999998</v>
      </c>
      <c r="C114" s="26">
        <v>-3.5086000999999999E-2</v>
      </c>
      <c r="D114" s="17">
        <v>0.42147757400000002</v>
      </c>
    </row>
    <row r="115" spans="1:4">
      <c r="A115" s="15">
        <v>45825</v>
      </c>
      <c r="B115" s="21">
        <v>0.99034310199999998</v>
      </c>
      <c r="C115" s="26">
        <v>-3.5086000999999999E-2</v>
      </c>
      <c r="D115" s="17">
        <v>9.8847398000000003E-2</v>
      </c>
    </row>
    <row r="116" spans="1:4">
      <c r="A116" s="15">
        <v>45826</v>
      </c>
      <c r="B116" s="21">
        <v>0.99034310199999998</v>
      </c>
      <c r="C116" s="26">
        <v>-3.5086000999999999E-2</v>
      </c>
      <c r="D116" s="17">
        <v>-0.55151611499999997</v>
      </c>
    </row>
    <row r="117" spans="1:4">
      <c r="A117" s="15">
        <v>45828</v>
      </c>
      <c r="B117" s="21">
        <v>0.99034310199999998</v>
      </c>
      <c r="C117" s="26">
        <v>-3.5086000999999999E-2</v>
      </c>
      <c r="D117" s="17">
        <v>-1.102884846</v>
      </c>
    </row>
    <row r="118" spans="1:4">
      <c r="A118" s="15">
        <v>45831</v>
      </c>
      <c r="B118" s="21">
        <v>0.99034310199999998</v>
      </c>
      <c r="C118" s="26">
        <v>-3.5086000999999999E-2</v>
      </c>
      <c r="D118" s="17">
        <v>-0.49915603200000003</v>
      </c>
    </row>
    <row r="119" spans="1:4">
      <c r="A119" s="15">
        <v>45832</v>
      </c>
      <c r="B119" s="21">
        <v>0.99034310199999998</v>
      </c>
      <c r="C119" s="26">
        <v>-3.5086000999999999E-2</v>
      </c>
      <c r="D119" s="17">
        <v>-0.24772770099999999</v>
      </c>
    </row>
    <row r="120" spans="1:4">
      <c r="A120" s="15">
        <v>45833</v>
      </c>
      <c r="B120" s="21">
        <v>0.99034310199999998</v>
      </c>
      <c r="C120" s="26">
        <v>-3.5086000999999999E-2</v>
      </c>
      <c r="D120" s="17">
        <v>-1.040113748</v>
      </c>
    </row>
    <row r="121" spans="1:4">
      <c r="A121" s="15">
        <v>45834</v>
      </c>
      <c r="B121" s="21">
        <v>0.99034310199999998</v>
      </c>
      <c r="C121" s="26">
        <v>-3.5086000999999999E-2</v>
      </c>
      <c r="D121" s="17">
        <v>-1.66531075</v>
      </c>
    </row>
    <row r="122" spans="1:4">
      <c r="A122" s="15">
        <v>45835</v>
      </c>
      <c r="B122" s="21">
        <v>0.99034310199999998</v>
      </c>
      <c r="C122" s="26">
        <v>-3.5086000999999999E-2</v>
      </c>
      <c r="D122" s="17">
        <v>-1.6653736480000001</v>
      </c>
    </row>
    <row r="123" spans="1:4">
      <c r="A123" s="15">
        <v>45838</v>
      </c>
      <c r="B123" s="21">
        <v>0.99034310199999998</v>
      </c>
      <c r="C123" s="26">
        <v>-3.5086000999999999E-2</v>
      </c>
      <c r="D123" s="17">
        <v>-2.1393198029999998</v>
      </c>
    </row>
    <row r="124" spans="1:4">
      <c r="A124" s="15">
        <v>45839</v>
      </c>
      <c r="B124" s="21">
        <v>0.99781792000000002</v>
      </c>
      <c r="C124" s="26">
        <v>-2.7803115E-2</v>
      </c>
      <c r="D124" s="17">
        <v>-0.94221627600000002</v>
      </c>
    </row>
    <row r="125" spans="1:4">
      <c r="A125" s="15">
        <v>45840</v>
      </c>
      <c r="B125" s="21">
        <v>1.0061058839999999</v>
      </c>
      <c r="C125" s="26">
        <v>-1.9727960999999999E-2</v>
      </c>
      <c r="D125" s="17">
        <v>0.19543992499999999</v>
      </c>
    </row>
    <row r="126" spans="1:4">
      <c r="A126" s="15">
        <v>45841</v>
      </c>
      <c r="B126" s="21">
        <v>1.0050997779999999</v>
      </c>
      <c r="C126" s="26">
        <v>-2.0708233E-2</v>
      </c>
      <c r="D126" s="17">
        <v>-0.15601385200000001</v>
      </c>
    </row>
    <row r="127" spans="1:4">
      <c r="A127" s="15">
        <v>45845</v>
      </c>
      <c r="B127" s="21">
        <v>1.0050997779999999</v>
      </c>
      <c r="C127" s="26">
        <v>-2.0708233E-2</v>
      </c>
      <c r="D127" s="17">
        <v>4.9283925999999999E-2</v>
      </c>
    </row>
    <row r="128" spans="1:4">
      <c r="A128" s="15">
        <v>45846</v>
      </c>
      <c r="B128" s="21">
        <v>1.0050997779999999</v>
      </c>
      <c r="C128" s="26">
        <v>-2.0708233E-2</v>
      </c>
      <c r="D128" s="17">
        <v>2.0639848170000001</v>
      </c>
    </row>
    <row r="129" spans="1:4">
      <c r="A129" s="15">
        <v>45847</v>
      </c>
      <c r="B129" s="21">
        <v>1.004312232</v>
      </c>
      <c r="C129" s="26">
        <v>-2.1475556999999999E-2</v>
      </c>
      <c r="D129" s="17">
        <v>1.6105735960000001</v>
      </c>
    </row>
    <row r="130" spans="1:4">
      <c r="A130" s="15">
        <v>45848</v>
      </c>
      <c r="B130" s="21">
        <v>1.0029984409999999</v>
      </c>
      <c r="C130" s="26">
        <v>-2.2755614E-2</v>
      </c>
      <c r="D130" s="17">
        <v>1.4704433210000001</v>
      </c>
    </row>
    <row r="131" spans="1:4">
      <c r="A131" s="15">
        <v>45849</v>
      </c>
      <c r="B131" s="21">
        <v>0.99630642000000003</v>
      </c>
      <c r="C131" s="26">
        <v>-2.9275803999999999E-2</v>
      </c>
      <c r="D131" s="17">
        <v>1.716004308</v>
      </c>
    </row>
    <row r="132" spans="1:4">
      <c r="A132" s="15">
        <v>45852</v>
      </c>
      <c r="B132" s="21">
        <v>1.004358592</v>
      </c>
      <c r="C132" s="26">
        <v>-2.1430386999999999E-2</v>
      </c>
      <c r="D132" s="17">
        <v>0.89028901299999996</v>
      </c>
    </row>
    <row r="133" spans="1:4">
      <c r="A133" s="15">
        <v>45853</v>
      </c>
      <c r="B133" s="21">
        <v>1.002493222</v>
      </c>
      <c r="C133" s="26">
        <v>-2.3247861000000002E-2</v>
      </c>
      <c r="D133" s="17">
        <v>0.88317968000000002</v>
      </c>
    </row>
    <row r="134" spans="1:4">
      <c r="A134" s="15">
        <v>45854</v>
      </c>
      <c r="B134" s="21">
        <v>1.0108510449999999</v>
      </c>
      <c r="C134" s="26">
        <v>-1.5104642E-2</v>
      </c>
      <c r="D134" s="17">
        <v>0.10903267799999999</v>
      </c>
    </row>
    <row r="135" spans="1:4">
      <c r="A135" s="15">
        <v>45855</v>
      </c>
      <c r="B135" s="21">
        <v>1.0098401939999999</v>
      </c>
      <c r="C135" s="26">
        <v>-1.6089538E-2</v>
      </c>
      <c r="D135" s="17">
        <v>8.6929463999999998E-2</v>
      </c>
    </row>
    <row r="136" spans="1:4">
      <c r="A136" s="15">
        <v>45856</v>
      </c>
      <c r="B136" s="21">
        <v>1.0098401939999999</v>
      </c>
      <c r="C136" s="26">
        <v>-1.6089538E-2</v>
      </c>
      <c r="D136" s="17">
        <v>-0.232101008</v>
      </c>
    </row>
    <row r="137" spans="1:4">
      <c r="A137" s="15">
        <v>45859</v>
      </c>
      <c r="B137" s="21">
        <v>1.0098401939999999</v>
      </c>
      <c r="C137" s="26">
        <v>-1.6089538E-2</v>
      </c>
      <c r="D137" s="17">
        <v>-0.82016391899999996</v>
      </c>
    </row>
    <row r="138" spans="1:4">
      <c r="A138" s="15">
        <v>45860</v>
      </c>
      <c r="B138" s="21">
        <v>1.0098401939999999</v>
      </c>
      <c r="C138" s="26">
        <v>-1.6089538E-2</v>
      </c>
      <c r="D138" s="17">
        <v>-0.44423747000000002</v>
      </c>
    </row>
    <row r="139" spans="1:4">
      <c r="A139" s="15">
        <v>45861</v>
      </c>
      <c r="B139" s="21">
        <v>1.0098401939999999</v>
      </c>
      <c r="C139" s="26">
        <v>-1.6089538E-2</v>
      </c>
      <c r="D139" s="17">
        <v>-3.1191942259999998</v>
      </c>
    </row>
    <row r="140" spans="1:4">
      <c r="A140" s="15">
        <v>45862</v>
      </c>
      <c r="B140" s="21">
        <v>1.006116483</v>
      </c>
      <c r="C140" s="26">
        <v>-1.9717634000000001E-2</v>
      </c>
      <c r="D140" s="17">
        <v>-2.154799508</v>
      </c>
    </row>
    <row r="141" spans="1:4">
      <c r="A141" s="15">
        <v>45863</v>
      </c>
      <c r="B141" s="21">
        <v>0.997742036</v>
      </c>
      <c r="C141" s="26">
        <v>-2.787705E-2</v>
      </c>
      <c r="D141" s="17">
        <v>-1.783250877</v>
      </c>
    </row>
    <row r="142" spans="1:4">
      <c r="A142" s="15">
        <v>45866</v>
      </c>
      <c r="B142" s="21">
        <v>1.0134059120000001</v>
      </c>
      <c r="C142" s="26">
        <v>-1.2615375999999999E-2</v>
      </c>
      <c r="D142" s="17">
        <v>-1.202030376</v>
      </c>
    </row>
    <row r="143" spans="1:4">
      <c r="A143" s="15">
        <v>45867</v>
      </c>
      <c r="B143" s="21">
        <v>1.0142260620000001</v>
      </c>
      <c r="C143" s="26">
        <v>-1.1816286E-2</v>
      </c>
      <c r="D143" s="17">
        <v>-1.001342398</v>
      </c>
    </row>
    <row r="144" spans="1:4">
      <c r="A144" s="15">
        <v>45868</v>
      </c>
      <c r="B144" s="21">
        <v>1.009674363</v>
      </c>
      <c r="C144" s="26">
        <v>-1.6251109999999999E-2</v>
      </c>
      <c r="D144" s="17">
        <v>-0.92511705700000002</v>
      </c>
    </row>
    <row r="145" spans="1:4">
      <c r="A145" s="15">
        <v>45869</v>
      </c>
      <c r="B145" s="21">
        <v>0.99369471300000001</v>
      </c>
      <c r="C145" s="26">
        <v>-3.1820449000000001E-2</v>
      </c>
      <c r="D145" s="17">
        <v>-1.0577103859999999</v>
      </c>
    </row>
    <row r="146" spans="1:4">
      <c r="A146" s="15">
        <v>45870</v>
      </c>
      <c r="B146" s="21">
        <v>1.002121737</v>
      </c>
      <c r="C146" s="26">
        <v>-2.3609807E-2</v>
      </c>
      <c r="D146" s="17">
        <v>-0.748739826</v>
      </c>
    </row>
    <row r="147" spans="1:4">
      <c r="A147" s="15">
        <v>45873</v>
      </c>
      <c r="B147" s="21">
        <v>0.99690856400000005</v>
      </c>
      <c r="C147" s="26">
        <v>-2.8689121000000001E-2</v>
      </c>
      <c r="D147" s="17">
        <v>-0.72410246199999995</v>
      </c>
    </row>
    <row r="148" spans="1:4">
      <c r="A148" s="15">
        <v>45874</v>
      </c>
      <c r="B148" s="21">
        <v>1.007959005</v>
      </c>
      <c r="C148" s="26">
        <v>-1.7922423E-2</v>
      </c>
      <c r="D148" s="17">
        <v>-0.34403114000000001</v>
      </c>
    </row>
    <row r="149" spans="1:4">
      <c r="A149" s="15">
        <v>45875</v>
      </c>
      <c r="B149" s="21">
        <v>1.006951046</v>
      </c>
      <c r="C149" s="26">
        <v>-1.8904500000000001E-2</v>
      </c>
      <c r="D149" s="17">
        <v>-0.21974243700000001</v>
      </c>
    </row>
    <row r="150" spans="1:4">
      <c r="A150" s="15">
        <v>45876</v>
      </c>
      <c r="B150" s="21">
        <v>1.006951046</v>
      </c>
      <c r="C150" s="26">
        <v>-1.8904500000000001E-2</v>
      </c>
      <c r="D150" s="17">
        <v>0.68622034399999998</v>
      </c>
    </row>
    <row r="151" spans="1:4">
      <c r="A151" s="15">
        <v>45877</v>
      </c>
      <c r="B151" s="21">
        <v>1.006951046</v>
      </c>
      <c r="C151" s="26">
        <v>-1.8904500000000001E-2</v>
      </c>
      <c r="D151" s="17">
        <v>1.013711633</v>
      </c>
    </row>
    <row r="152" spans="1:4">
      <c r="A152" s="15">
        <v>45880</v>
      </c>
      <c r="B152" s="21">
        <v>1.006951046</v>
      </c>
      <c r="C152" s="26">
        <v>-1.8904500000000001E-2</v>
      </c>
      <c r="D152" s="17">
        <v>-0.24698431000000001</v>
      </c>
    </row>
    <row r="153" spans="1:4">
      <c r="A153" s="15">
        <v>45881</v>
      </c>
      <c r="B153" s="21">
        <v>1.006951046</v>
      </c>
      <c r="C153" s="26">
        <v>-1.8904500000000001E-2</v>
      </c>
      <c r="D153" s="17">
        <v>1.1853720649999999</v>
      </c>
    </row>
    <row r="154" spans="1:4">
      <c r="A154" s="15">
        <v>45882</v>
      </c>
      <c r="B154" s="21">
        <v>1.006951046</v>
      </c>
      <c r="C154" s="26">
        <v>-1.8904500000000001E-2</v>
      </c>
      <c r="D154" s="17">
        <v>1.1385110549999999</v>
      </c>
    </row>
    <row r="155" spans="1:4">
      <c r="A155" s="15">
        <v>45883</v>
      </c>
      <c r="B155" s="21">
        <v>1.006951046</v>
      </c>
      <c r="C155" s="26">
        <v>-1.8904500000000001E-2</v>
      </c>
      <c r="D155" s="17">
        <v>1.0591592679999999</v>
      </c>
    </row>
    <row r="156" spans="1:4">
      <c r="A156" s="15">
        <v>45884</v>
      </c>
      <c r="B156" s="21">
        <v>1.006951046</v>
      </c>
      <c r="C156" s="26">
        <v>-1.8904500000000001E-2</v>
      </c>
      <c r="D156" s="17">
        <v>2.034752219</v>
      </c>
    </row>
    <row r="157" spans="1:4">
      <c r="A157" s="15">
        <v>45887</v>
      </c>
      <c r="B157" s="21">
        <v>1.006773731</v>
      </c>
      <c r="C157" s="26">
        <v>-1.9077262000000001E-2</v>
      </c>
      <c r="D157" s="17">
        <v>1.645272147</v>
      </c>
    </row>
    <row r="158" spans="1:4">
      <c r="A158" s="15">
        <v>45888</v>
      </c>
      <c r="B158" s="21">
        <v>0.99623413900000002</v>
      </c>
      <c r="C158" s="26">
        <v>-2.9346227999999999E-2</v>
      </c>
      <c r="D158" s="17">
        <v>2.020653351</v>
      </c>
    </row>
    <row r="159" spans="1:4">
      <c r="A159" s="15">
        <v>45889</v>
      </c>
      <c r="B159" s="21">
        <v>0.98223699900000006</v>
      </c>
      <c r="C159" s="26">
        <v>-4.2983963E-2</v>
      </c>
      <c r="D159" s="17">
        <v>2.2891241199999999</v>
      </c>
    </row>
    <row r="160" spans="1:4">
      <c r="A160" s="15">
        <v>45890</v>
      </c>
      <c r="B160" s="21">
        <v>0.97955551699999999</v>
      </c>
      <c r="C160" s="26">
        <v>-4.5596592999999998E-2</v>
      </c>
      <c r="D160" s="17">
        <v>1.855683789</v>
      </c>
    </row>
    <row r="161" spans="1:4">
      <c r="A161" s="15">
        <v>45891</v>
      </c>
      <c r="B161" s="21">
        <v>0.98054061199999998</v>
      </c>
      <c r="C161" s="26">
        <v>-4.4636792000000002E-2</v>
      </c>
      <c r="D161" s="17">
        <v>1.4589258860000001</v>
      </c>
    </row>
    <row r="162" spans="1:4">
      <c r="A162" s="15">
        <v>45894</v>
      </c>
      <c r="B162" s="21">
        <v>0.97896793800000004</v>
      </c>
      <c r="C162" s="26">
        <v>-4.6169084999999999E-2</v>
      </c>
      <c r="D162" s="17">
        <v>1.286652323</v>
      </c>
    </row>
    <row r="163" spans="1:4">
      <c r="A163" s="15">
        <v>45895</v>
      </c>
      <c r="B163" s="21">
        <v>0.98488145599999999</v>
      </c>
      <c r="C163" s="26">
        <v>-4.0407407999999999E-2</v>
      </c>
      <c r="D163" s="17">
        <v>0.80445069899999999</v>
      </c>
    </row>
    <row r="164" spans="1:4">
      <c r="A164" s="15">
        <v>45896</v>
      </c>
      <c r="B164" s="21">
        <v>0.98665681199999999</v>
      </c>
      <c r="C164" s="26">
        <v>-3.8677638E-2</v>
      </c>
      <c r="D164" s="17">
        <v>0.58103877199999998</v>
      </c>
    </row>
    <row r="165" spans="1:4">
      <c r="A165" s="15">
        <v>45897</v>
      </c>
      <c r="B165" s="21">
        <v>0.99124049400000003</v>
      </c>
      <c r="C165" s="26">
        <v>-3.4211652000000002E-2</v>
      </c>
      <c r="D165" s="17">
        <v>0.16240654299999999</v>
      </c>
    </row>
    <row r="166" spans="1:4">
      <c r="A166" s="15">
        <v>45898</v>
      </c>
      <c r="B166" s="21">
        <v>0.990249253</v>
      </c>
      <c r="C166" s="26">
        <v>-3.5177439999999997E-2</v>
      </c>
      <c r="D166" s="17">
        <v>-0.22295647800000001</v>
      </c>
    </row>
    <row r="167" spans="1:4">
      <c r="A167" s="15">
        <v>45902</v>
      </c>
      <c r="B167" s="21">
        <v>0.990249253</v>
      </c>
      <c r="C167" s="26">
        <v>-3.5177439999999997E-2</v>
      </c>
      <c r="D167" s="17">
        <v>-0.35564143999999998</v>
      </c>
    </row>
    <row r="168" spans="1:4">
      <c r="A168" s="15">
        <v>45903</v>
      </c>
      <c r="B168" s="21">
        <v>0.990249253</v>
      </c>
      <c r="C168" s="26">
        <v>-3.5177439999999997E-2</v>
      </c>
      <c r="D168" s="17">
        <v>-1.5489314679999999</v>
      </c>
    </row>
    <row r="169" spans="1:4">
      <c r="A169" s="15">
        <v>45904</v>
      </c>
      <c r="B169" s="21">
        <v>0.990249253</v>
      </c>
      <c r="C169" s="26">
        <v>-3.5177439999999997E-2</v>
      </c>
      <c r="D169" s="17">
        <v>-2.7963850080000001</v>
      </c>
    </row>
    <row r="170" spans="1:4">
      <c r="A170" s="15">
        <v>45905</v>
      </c>
      <c r="B170" s="21">
        <v>0.99769028800000004</v>
      </c>
      <c r="C170" s="26">
        <v>-2.7927469E-2</v>
      </c>
      <c r="D170" s="17">
        <v>-1.7659282160000001</v>
      </c>
    </row>
    <row r="171" spans="1:4">
      <c r="A171" s="15">
        <v>45908</v>
      </c>
      <c r="B171" s="21">
        <v>0.98941026399999998</v>
      </c>
      <c r="C171" s="26">
        <v>-3.5994887000000003E-2</v>
      </c>
      <c r="D171" s="17">
        <v>-1.6792160780000001</v>
      </c>
    </row>
    <row r="172" spans="1:4">
      <c r="A172" s="15">
        <v>45909</v>
      </c>
      <c r="B172" s="21">
        <v>0.97336951900000002</v>
      </c>
      <c r="C172" s="26">
        <v>-5.1623752000000002E-2</v>
      </c>
      <c r="D172" s="17">
        <v>-1.798100839</v>
      </c>
    </row>
    <row r="173" spans="1:4">
      <c r="A173" s="15">
        <v>45910</v>
      </c>
      <c r="B173" s="21">
        <v>0.96712213599999997</v>
      </c>
      <c r="C173" s="26">
        <v>-5.7710721E-2</v>
      </c>
      <c r="D173" s="17">
        <v>-1.6137740469999999</v>
      </c>
    </row>
    <row r="174" spans="1:4">
      <c r="A174" s="15">
        <v>45911</v>
      </c>
      <c r="B174" s="21">
        <v>0.95889867600000001</v>
      </c>
      <c r="C174" s="26">
        <v>-6.5723026000000004E-2</v>
      </c>
      <c r="D174" s="17">
        <v>-1.5426005</v>
      </c>
    </row>
    <row r="175" spans="1:4">
      <c r="A175" s="15">
        <v>45912</v>
      </c>
      <c r="B175" s="21">
        <v>0.95697973999999997</v>
      </c>
      <c r="C175" s="26">
        <v>-6.7592689999999997E-2</v>
      </c>
      <c r="D175" s="17">
        <v>-1.3380916009999999</v>
      </c>
    </row>
    <row r="176" spans="1:4">
      <c r="A176" s="15">
        <v>45915</v>
      </c>
      <c r="B176" s="21">
        <v>0.94113199199999997</v>
      </c>
      <c r="C176" s="26">
        <v>-8.3033514000000003E-2</v>
      </c>
      <c r="D176" s="17">
        <v>-1.517769795</v>
      </c>
    </row>
    <row r="177" spans="1:4">
      <c r="A177" s="15">
        <v>45916</v>
      </c>
      <c r="B177" s="21">
        <v>0.94033650300000005</v>
      </c>
      <c r="C177" s="26">
        <v>-8.3808577999999995E-2</v>
      </c>
      <c r="D177" s="17">
        <v>-1.3075288629999999</v>
      </c>
    </row>
    <row r="178" spans="1:4">
      <c r="A178" s="15">
        <v>45917</v>
      </c>
      <c r="B178" s="21">
        <v>0.94233447000000004</v>
      </c>
      <c r="C178" s="26">
        <v>-8.1861911999999995E-2</v>
      </c>
      <c r="D178" s="17">
        <v>-1.082302605</v>
      </c>
    </row>
    <row r="179" spans="1:4">
      <c r="A179" s="15">
        <v>45918</v>
      </c>
      <c r="B179" s="21">
        <v>0.93991804000000001</v>
      </c>
      <c r="C179" s="26">
        <v>-8.4216295999999996E-2</v>
      </c>
      <c r="D179" s="17">
        <v>-1.0583852419999999</v>
      </c>
    </row>
    <row r="180" spans="1:4">
      <c r="A180" s="15">
        <v>45919</v>
      </c>
      <c r="B180" s="21">
        <v>0.93363834300000004</v>
      </c>
      <c r="C180" s="26">
        <v>-9.0334748000000006E-2</v>
      </c>
      <c r="D180" s="17">
        <v>-1.2325789949999999</v>
      </c>
    </row>
    <row r="181" spans="1:4">
      <c r="A181" s="15">
        <v>45922</v>
      </c>
      <c r="B181" s="21">
        <v>0.93396748699999999</v>
      </c>
      <c r="C181" s="26">
        <v>-9.0014055999999995E-2</v>
      </c>
      <c r="D181" s="17">
        <v>-1.0402897390000001</v>
      </c>
    </row>
    <row r="182" spans="1:4">
      <c r="A182" s="15">
        <v>45923</v>
      </c>
      <c r="B182" s="21">
        <v>0.93984374699999995</v>
      </c>
      <c r="C182" s="26">
        <v>-8.4288681000000004E-2</v>
      </c>
      <c r="D182" s="17">
        <v>-0.65229922200000001</v>
      </c>
    </row>
    <row r="183" spans="1:4">
      <c r="A183" s="15">
        <v>45924</v>
      </c>
      <c r="B183" s="21">
        <v>0.95411534600000003</v>
      </c>
      <c r="C183" s="26">
        <v>-7.0383534999999997E-2</v>
      </c>
      <c r="D183" s="17">
        <v>0.46311177199999998</v>
      </c>
    </row>
    <row r="184" spans="1:4">
      <c r="A184" s="15">
        <v>45925</v>
      </c>
      <c r="B184" s="21">
        <v>0.95316123100000005</v>
      </c>
      <c r="C184" s="26">
        <v>-7.1313151000000005E-2</v>
      </c>
      <c r="D184" s="17">
        <v>4.3997824999999997E-2</v>
      </c>
    </row>
    <row r="185" spans="1:4">
      <c r="A185" s="15">
        <v>45926</v>
      </c>
      <c r="B185" s="21">
        <v>0.95316123100000005</v>
      </c>
      <c r="C185" s="26">
        <v>-7.1313151000000005E-2</v>
      </c>
      <c r="D185" s="17">
        <v>0.48290468800000003</v>
      </c>
    </row>
    <row r="186" spans="1:4">
      <c r="A186" s="15">
        <v>45929</v>
      </c>
      <c r="B186" s="21">
        <v>0.95316123100000005</v>
      </c>
      <c r="C186" s="26">
        <v>-7.1313151000000005E-2</v>
      </c>
      <c r="D186" s="17">
        <v>0.113210519</v>
      </c>
    </row>
    <row r="187" spans="1:4">
      <c r="A187" s="15">
        <v>45930</v>
      </c>
      <c r="B187" s="21">
        <v>0.95316123100000005</v>
      </c>
      <c r="C187" s="26">
        <v>-7.1313151000000005E-2</v>
      </c>
      <c r="D187" s="17">
        <v>1.1567863430000001</v>
      </c>
    </row>
    <row r="188" spans="1:4">
      <c r="A188" s="15">
        <v>45931</v>
      </c>
      <c r="B188" s="21">
        <v>0.95316123100000005</v>
      </c>
      <c r="C188" s="26">
        <v>-7.1313151000000005E-2</v>
      </c>
      <c r="D188" s="17">
        <v>0.65940516199999999</v>
      </c>
    </row>
    <row r="189" spans="1:4">
      <c r="A189" s="15">
        <v>45932</v>
      </c>
      <c r="B189" s="21">
        <v>0.95316123100000005</v>
      </c>
      <c r="C189" s="26">
        <v>-7.1313151000000005E-2</v>
      </c>
      <c r="D189" s="17">
        <v>1.5910841440000001</v>
      </c>
    </row>
    <row r="190" spans="1:4">
      <c r="A190" s="15">
        <v>45933</v>
      </c>
      <c r="B190" s="21">
        <v>0.95316123100000005</v>
      </c>
      <c r="C190" s="26">
        <v>-7.1313151000000005E-2</v>
      </c>
      <c r="D190" s="17">
        <v>-2.1152213999999999E-2</v>
      </c>
    </row>
    <row r="191" spans="1:4">
      <c r="A191" s="15">
        <v>45936</v>
      </c>
      <c r="B191" s="21">
        <v>0.95316123100000005</v>
      </c>
      <c r="C191" s="26">
        <v>-7.1313151000000005E-2</v>
      </c>
      <c r="D191" s="17">
        <v>-8.5435155999999998E-2</v>
      </c>
    </row>
    <row r="192" spans="1:4">
      <c r="A192" s="15">
        <v>45937</v>
      </c>
      <c r="B192" s="21">
        <v>0.95316123100000005</v>
      </c>
      <c r="C192" s="26">
        <v>-7.1313151000000005E-2</v>
      </c>
      <c r="D192" s="17">
        <v>-1.393633992</v>
      </c>
    </row>
    <row r="193" spans="1:4">
      <c r="A193" s="15">
        <v>45938</v>
      </c>
      <c r="B193" s="21">
        <v>0.95316123100000005</v>
      </c>
      <c r="C193" s="26">
        <v>-7.1313151000000005E-2</v>
      </c>
      <c r="D193" s="17">
        <v>1.4029961010000001</v>
      </c>
    </row>
    <row r="194" spans="1:4">
      <c r="A194" s="15">
        <v>45939</v>
      </c>
      <c r="B194" s="21">
        <v>0.95316123100000005</v>
      </c>
      <c r="C194" s="26">
        <v>-7.1313151000000005E-2</v>
      </c>
      <c r="D194" s="17">
        <v>-0.17529735599999999</v>
      </c>
    </row>
    <row r="195" spans="1:4">
      <c r="A195" s="15">
        <v>45940</v>
      </c>
      <c r="B195" s="21">
        <v>0.95316123100000005</v>
      </c>
      <c r="C195" s="26">
        <v>-7.1313151000000005E-2</v>
      </c>
      <c r="D195" s="17">
        <v>-1.574413579</v>
      </c>
    </row>
    <row r="196" spans="1:4">
      <c r="A196" s="15">
        <v>45943</v>
      </c>
      <c r="B196" s="21">
        <v>0.95316123100000005</v>
      </c>
      <c r="C196" s="26">
        <v>-7.1313151000000005E-2</v>
      </c>
      <c r="D196" s="17">
        <v>-1.7280380120000001</v>
      </c>
    </row>
    <row r="197" spans="1:4">
      <c r="A197" s="15">
        <v>45944</v>
      </c>
      <c r="B197" s="21">
        <v>0.95316123100000005</v>
      </c>
      <c r="C197" s="26">
        <v>-7.1313151000000005E-2</v>
      </c>
      <c r="D197" s="17">
        <v>-0.74323309699999995</v>
      </c>
    </row>
    <row r="198" spans="1:4">
      <c r="A198" s="15">
        <v>45945</v>
      </c>
      <c r="B198" s="21">
        <v>0.95316123100000005</v>
      </c>
      <c r="C198" s="26">
        <v>-7.1313151000000005E-2</v>
      </c>
      <c r="D198" s="17">
        <v>-4.7640410000000001E-2</v>
      </c>
    </row>
    <row r="199" spans="1:4">
      <c r="A199" s="15">
        <v>45946</v>
      </c>
      <c r="B199" s="21">
        <v>0.95316123100000005</v>
      </c>
      <c r="C199" s="26">
        <v>-7.1313151000000005E-2</v>
      </c>
      <c r="D199" s="17">
        <v>0.79251564799999996</v>
      </c>
    </row>
    <row r="200" spans="1:4">
      <c r="A200" s="15">
        <v>45947</v>
      </c>
      <c r="B200" s="21">
        <v>0.95316123100000005</v>
      </c>
      <c r="C200" s="26">
        <v>-7.1313151000000005E-2</v>
      </c>
      <c r="D200" s="17">
        <v>1.466984047</v>
      </c>
    </row>
    <row r="201" spans="1:4">
      <c r="A201" s="15">
        <v>45950</v>
      </c>
      <c r="B201" s="21">
        <v>0.95316123100000005</v>
      </c>
      <c r="C201" s="26">
        <v>-7.1313151000000005E-2</v>
      </c>
      <c r="D201" s="17">
        <v>1.4708084320000001</v>
      </c>
    </row>
    <row r="202" spans="1:4">
      <c r="A202" s="15">
        <v>45951</v>
      </c>
      <c r="B202" s="21">
        <v>0.95316123100000005</v>
      </c>
      <c r="C202" s="26">
        <v>-7.1313151000000005E-2</v>
      </c>
      <c r="D202" s="17">
        <v>1.6686749279999999</v>
      </c>
    </row>
    <row r="203" spans="1:4">
      <c r="A203" s="15">
        <v>45952</v>
      </c>
      <c r="B203" s="21">
        <v>0.95316123100000005</v>
      </c>
      <c r="C203" s="26">
        <v>-7.1313151000000005E-2</v>
      </c>
      <c r="D203" s="17">
        <v>-0.15511260499999999</v>
      </c>
    </row>
    <row r="204" spans="1:4">
      <c r="A204" s="15">
        <v>45953</v>
      </c>
      <c r="B204" s="21">
        <v>0.95316123100000005</v>
      </c>
      <c r="C204" s="26">
        <v>-7.1313151000000005E-2</v>
      </c>
      <c r="D204" s="17">
        <v>-0.22062368700000001</v>
      </c>
    </row>
    <row r="205" spans="1:4">
      <c r="A205" s="15">
        <v>45954</v>
      </c>
      <c r="B205" s="21">
        <v>0.95316123100000005</v>
      </c>
      <c r="C205" s="26">
        <v>-7.1313151000000005E-2</v>
      </c>
      <c r="D205" s="17">
        <v>-2.1337141989999999</v>
      </c>
    </row>
    <row r="206" spans="1:4">
      <c r="A206" s="15">
        <v>45957</v>
      </c>
      <c r="B206" s="21">
        <v>0.94922519299999997</v>
      </c>
      <c r="C206" s="26">
        <v>-7.5148122999999997E-2</v>
      </c>
      <c r="D206" s="17">
        <v>-1.783460249</v>
      </c>
    </row>
    <row r="207" spans="1:4">
      <c r="A207" s="15">
        <v>45958</v>
      </c>
      <c r="B207" s="21">
        <v>0.94105007500000004</v>
      </c>
      <c r="C207" s="26">
        <v>-8.3113327000000001E-2</v>
      </c>
      <c r="D207" s="17">
        <v>-1.786913969</v>
      </c>
    </row>
    <row r="208" spans="1:4">
      <c r="A208" s="15">
        <v>45959</v>
      </c>
      <c r="B208" s="21">
        <v>0.92825877700000003</v>
      </c>
      <c r="C208" s="26">
        <v>-9.5576182999999995E-2</v>
      </c>
      <c r="D208" s="17">
        <v>-1.8724372629999999</v>
      </c>
    </row>
    <row r="209" spans="1:4">
      <c r="A209" s="15">
        <v>45960</v>
      </c>
      <c r="B209" s="21">
        <v>0.92458178099999999</v>
      </c>
      <c r="C209" s="26">
        <v>-9.9158764999999996E-2</v>
      </c>
      <c r="D209" s="17">
        <v>-1.601450815</v>
      </c>
    </row>
    <row r="210" spans="1:4">
      <c r="A210" s="15">
        <v>45961</v>
      </c>
      <c r="B210" s="21">
        <v>0.93165561200000002</v>
      </c>
      <c r="C210" s="26">
        <v>-9.2266569000000007E-2</v>
      </c>
      <c r="D210" s="17">
        <v>-1.1222312860000001</v>
      </c>
    </row>
    <row r="211" spans="1:4">
      <c r="A211" s="15">
        <v>45964</v>
      </c>
      <c r="B211" s="21">
        <v>0.93400696800000005</v>
      </c>
      <c r="C211" s="26">
        <v>-8.9975587999999995E-2</v>
      </c>
      <c r="D211" s="17">
        <v>-0.87957427700000002</v>
      </c>
    </row>
    <row r="212" spans="1:4">
      <c r="A212" s="15">
        <v>45965</v>
      </c>
      <c r="B212" s="21">
        <v>0.92487094700000005</v>
      </c>
      <c r="C212" s="26">
        <v>-9.8877023999999994E-2</v>
      </c>
      <c r="D212" s="17">
        <v>-1.021067052</v>
      </c>
    </row>
    <row r="213" spans="1:4">
      <c r="A213" s="15">
        <v>45966</v>
      </c>
      <c r="B213" s="21">
        <v>0.93519197099999996</v>
      </c>
      <c r="C213" s="26">
        <v>-8.8821013000000004E-2</v>
      </c>
      <c r="D213" s="17">
        <v>-0.52664876400000005</v>
      </c>
    </row>
    <row r="214" spans="1:4">
      <c r="A214" s="15">
        <v>45967</v>
      </c>
      <c r="B214" s="21">
        <v>0.93247308100000004</v>
      </c>
      <c r="C214" s="26">
        <v>-9.1470090000000004E-2</v>
      </c>
      <c r="D214" s="17">
        <v>-0.52984068600000001</v>
      </c>
    </row>
    <row r="215" spans="1:4">
      <c r="A215" s="15">
        <v>45968</v>
      </c>
      <c r="B215" s="21">
        <v>0.93091592700000003</v>
      </c>
      <c r="C215" s="26">
        <v>-9.2987260000000002E-2</v>
      </c>
      <c r="D215" s="17">
        <v>-0.493844907</v>
      </c>
    </row>
    <row r="216" spans="1:4">
      <c r="A216" s="15">
        <v>45971</v>
      </c>
      <c r="B216" s="21">
        <v>0.92998501099999997</v>
      </c>
      <c r="C216" s="26">
        <v>-9.3894273E-2</v>
      </c>
      <c r="D216" s="17">
        <v>-1.052181609</v>
      </c>
    </row>
    <row r="217" spans="1:4">
      <c r="A217" s="15">
        <v>45972</v>
      </c>
      <c r="B217" s="21">
        <v>0.92998501099999997</v>
      </c>
      <c r="C217" s="26">
        <v>-9.3894273E-2</v>
      </c>
      <c r="D217" s="17">
        <v>-1.8846170120000001</v>
      </c>
    </row>
    <row r="218" spans="1:4">
      <c r="A218" s="15">
        <v>45973</v>
      </c>
      <c r="B218" s="21">
        <v>0.92998501099999997</v>
      </c>
      <c r="C218" s="26">
        <v>-9.3894273E-2</v>
      </c>
      <c r="D218" s="17">
        <v>-2.229505488</v>
      </c>
    </row>
    <row r="219" spans="1:4">
      <c r="A219" s="15">
        <v>45974</v>
      </c>
      <c r="B219" s="21">
        <v>0.94642072200000005</v>
      </c>
      <c r="C219" s="26">
        <v>-7.7880583000000003E-2</v>
      </c>
      <c r="D219" s="17">
        <v>-0.22401934300000001</v>
      </c>
    </row>
    <row r="220" spans="1:4">
      <c r="A220" s="15">
        <v>45975</v>
      </c>
      <c r="B220" s="21">
        <v>0.94547430099999996</v>
      </c>
      <c r="C220" s="26">
        <v>-7.8802703000000002E-2</v>
      </c>
      <c r="D220" s="17">
        <v>-9.3530636E-2</v>
      </c>
    </row>
    <row r="221" spans="1:4">
      <c r="A221" s="15">
        <v>45978</v>
      </c>
      <c r="B221" s="21">
        <v>0.94547430099999996</v>
      </c>
      <c r="C221" s="26">
        <v>-7.8802703000000002E-2</v>
      </c>
      <c r="D221" s="17">
        <v>-0.38323346699999999</v>
      </c>
    </row>
    <row r="222" spans="1:4">
      <c r="A222" s="15">
        <v>45979</v>
      </c>
      <c r="B222" s="21">
        <v>0.94547430099999996</v>
      </c>
      <c r="C222" s="26">
        <v>-7.8802703000000002E-2</v>
      </c>
      <c r="D222" s="17">
        <v>0.35914443000000001</v>
      </c>
    </row>
    <row r="223" spans="1:4">
      <c r="A223" s="15">
        <v>45980</v>
      </c>
      <c r="B223" s="21">
        <v>0.94547430099999996</v>
      </c>
      <c r="C223" s="26">
        <v>-7.8802703000000002E-2</v>
      </c>
      <c r="D223" s="17">
        <v>-0.31159382299999999</v>
      </c>
    </row>
    <row r="224" spans="1:4">
      <c r="A224" s="15">
        <v>45981</v>
      </c>
      <c r="B224" s="21">
        <v>0.94547430099999996</v>
      </c>
      <c r="C224" s="26">
        <v>-7.8802703000000002E-2</v>
      </c>
      <c r="D224" s="17">
        <v>-0.60533029100000002</v>
      </c>
    </row>
    <row r="225" spans="1:4">
      <c r="A225" s="15">
        <v>45982</v>
      </c>
      <c r="B225" s="21">
        <v>0.94547430099999996</v>
      </c>
      <c r="C225" s="26">
        <v>-7.8802703000000002E-2</v>
      </c>
      <c r="D225" s="17">
        <v>1.445618107</v>
      </c>
    </row>
    <row r="226" spans="1:4">
      <c r="A226" s="15">
        <v>45985</v>
      </c>
      <c r="B226" s="21">
        <v>0.94547430099999996</v>
      </c>
      <c r="C226" s="26">
        <v>-7.8802703000000002E-2</v>
      </c>
      <c r="D226" s="17">
        <v>0.87522897799999999</v>
      </c>
    </row>
    <row r="227" spans="1:4">
      <c r="A227" s="15">
        <v>45986</v>
      </c>
      <c r="B227" s="21">
        <v>0.94547430099999996</v>
      </c>
      <c r="C227" s="26">
        <v>-7.8802703000000002E-2</v>
      </c>
      <c r="D227" s="17">
        <v>0.23832458500000001</v>
      </c>
    </row>
    <row r="228" spans="1:4">
      <c r="A228" s="15">
        <v>45987</v>
      </c>
      <c r="B228" s="21">
        <v>0.94547430099999996</v>
      </c>
      <c r="C228" s="26">
        <v>-7.8802703000000002E-2</v>
      </c>
      <c r="D228" s="17">
        <v>0.427435273</v>
      </c>
    </row>
    <row r="229" spans="1:4">
      <c r="A229" s="15">
        <v>45989</v>
      </c>
      <c r="B229" s="21">
        <v>0.94547430099999996</v>
      </c>
      <c r="C229" s="26">
        <v>-7.8802703000000002E-2</v>
      </c>
      <c r="D229" s="17">
        <v>0.56611613100000002</v>
      </c>
    </row>
    <row r="230" spans="1:4">
      <c r="A230" s="15">
        <v>45992</v>
      </c>
      <c r="B230" s="21">
        <v>0.94547430099999996</v>
      </c>
      <c r="C230" s="26">
        <v>-7.8802703000000002E-2</v>
      </c>
      <c r="D230" s="17">
        <v>1.9064003249999999</v>
      </c>
    </row>
    <row r="231" spans="1:4">
      <c r="A231" s="15">
        <v>45993</v>
      </c>
      <c r="B231" s="21">
        <v>0.94547430099999996</v>
      </c>
      <c r="C231" s="26">
        <v>-7.8802703000000002E-2</v>
      </c>
      <c r="D231" s="17">
        <v>2.5349523089999999</v>
      </c>
    </row>
    <row r="232" spans="1:4">
      <c r="A232" s="15">
        <v>45994</v>
      </c>
      <c r="B232" s="21">
        <v>0.93752015799999999</v>
      </c>
      <c r="C232" s="26">
        <v>-8.6552607000000004E-2</v>
      </c>
      <c r="D232" s="17">
        <v>2.2058384320000002</v>
      </c>
    </row>
    <row r="233" spans="1:4">
      <c r="A233" s="15">
        <v>45995</v>
      </c>
      <c r="B233" s="21">
        <v>0.94456461400000002</v>
      </c>
      <c r="C233" s="26">
        <v>-7.9689032000000007E-2</v>
      </c>
      <c r="D233" s="17">
        <v>1.304837292</v>
      </c>
    </row>
    <row r="234" spans="1:4">
      <c r="A234" s="15">
        <v>45996</v>
      </c>
      <c r="B234" s="21">
        <v>0.94784780999999996</v>
      </c>
      <c r="C234" s="26">
        <v>-7.6490138999999999E-2</v>
      </c>
      <c r="D234" s="17">
        <v>0.88347856899999999</v>
      </c>
    </row>
    <row r="235" spans="1:4">
      <c r="A235" s="15">
        <v>45999</v>
      </c>
      <c r="B235" s="21">
        <v>0.95876943400000003</v>
      </c>
      <c r="C235" s="26">
        <v>-6.5848950000000003E-2</v>
      </c>
      <c r="D235" s="17">
        <v>-9.3762428999999994E-2</v>
      </c>
    </row>
    <row r="236" spans="1:4">
      <c r="A236" s="15">
        <v>46000</v>
      </c>
      <c r="B236" s="21">
        <v>0.95781066500000001</v>
      </c>
      <c r="C236" s="26">
        <v>-6.6783100999999997E-2</v>
      </c>
      <c r="D236" s="17">
        <v>-0.99765670900000003</v>
      </c>
    </row>
    <row r="237" spans="1:4">
      <c r="A237" s="15">
        <v>46001</v>
      </c>
      <c r="B237" s="21">
        <v>0.95781066500000001</v>
      </c>
      <c r="C237" s="26">
        <v>-6.6783100999999997E-2</v>
      </c>
      <c r="D237" s="17">
        <v>-1.01647719</v>
      </c>
    </row>
    <row r="238" spans="1:4">
      <c r="A238" s="15">
        <v>46002</v>
      </c>
      <c r="B238" s="21">
        <v>0.95781066500000001</v>
      </c>
      <c r="C238" s="26">
        <v>-6.6783100999999997E-2</v>
      </c>
      <c r="D238" s="17">
        <v>-1.683647409</v>
      </c>
    </row>
    <row r="239" spans="1:4">
      <c r="A239" s="15">
        <v>46003</v>
      </c>
      <c r="B239" s="21">
        <v>0.95781066500000001</v>
      </c>
      <c r="C239" s="26">
        <v>-6.6783100999999997E-2</v>
      </c>
      <c r="D239" s="17">
        <v>-1.0709256659999999</v>
      </c>
    </row>
    <row r="240" spans="1:4">
      <c r="A240" s="15">
        <v>46006</v>
      </c>
      <c r="B240" s="21">
        <v>0.95781066500000001</v>
      </c>
      <c r="C240" s="26">
        <v>-6.6783100999999997E-2</v>
      </c>
      <c r="D240" s="17">
        <v>-1.2498841119999999</v>
      </c>
    </row>
    <row r="241" spans="1:4">
      <c r="A241" s="15">
        <v>46007</v>
      </c>
      <c r="B241" s="21">
        <v>0.95781066500000001</v>
      </c>
      <c r="C241" s="26">
        <v>-6.6783100999999997E-2</v>
      </c>
      <c r="D241" s="17">
        <v>-0.84732675999999996</v>
      </c>
    </row>
    <row r="242" spans="1:4">
      <c r="A242" s="15">
        <v>46008</v>
      </c>
      <c r="B242" s="21">
        <v>0.95781066500000001</v>
      </c>
      <c r="C242" s="26">
        <v>-6.6783100999999997E-2</v>
      </c>
      <c r="D242" s="17">
        <v>-0.95411881700000001</v>
      </c>
    </row>
    <row r="243" spans="1:4">
      <c r="A243" s="15">
        <v>46009</v>
      </c>
      <c r="B243" s="21">
        <v>0.95781066500000001</v>
      </c>
      <c r="C243" s="26">
        <v>-6.6783100999999997E-2</v>
      </c>
      <c r="D243" s="17">
        <v>-0.68846254200000001</v>
      </c>
    </row>
    <row r="244" spans="1:4">
      <c r="A244" s="15">
        <v>46010</v>
      </c>
      <c r="B244" s="21">
        <v>0.95781066500000001</v>
      </c>
      <c r="C244" s="26">
        <v>-6.6783100999999997E-2</v>
      </c>
      <c r="D244" s="17">
        <v>-1.203393632</v>
      </c>
    </row>
    <row r="245" spans="1:4">
      <c r="A245" s="15">
        <v>46013</v>
      </c>
      <c r="B245" s="21">
        <v>0.95781066500000001</v>
      </c>
      <c r="C245" s="26">
        <v>-6.6783100999999997E-2</v>
      </c>
      <c r="D245" s="17">
        <v>-0.85852535500000005</v>
      </c>
    </row>
    <row r="246" spans="1:4">
      <c r="A246" s="15">
        <v>46014</v>
      </c>
      <c r="B246" s="21">
        <v>0.95781066500000001</v>
      </c>
      <c r="C246" s="26">
        <v>-6.6783100999999997E-2</v>
      </c>
      <c r="D246" s="17">
        <v>-1.4447627750000001</v>
      </c>
    </row>
    <row r="247" spans="1:4">
      <c r="A247" s="15">
        <v>46015</v>
      </c>
      <c r="B247" s="21">
        <v>0.95781066500000001</v>
      </c>
      <c r="C247" s="26">
        <v>-6.6783100999999997E-2</v>
      </c>
      <c r="D247" s="17">
        <v>-1.870359984</v>
      </c>
    </row>
    <row r="248" spans="1:4">
      <c r="A248" s="15">
        <v>46017</v>
      </c>
      <c r="B248" s="21">
        <v>0.95781066500000001</v>
      </c>
      <c r="C248" s="26">
        <v>-6.6783100999999997E-2</v>
      </c>
      <c r="D248" s="17">
        <v>-1.4319995190000001</v>
      </c>
    </row>
    <row r="249" spans="1:4">
      <c r="A249" s="15">
        <v>46020</v>
      </c>
      <c r="B249" s="21">
        <v>0.95781066500000001</v>
      </c>
      <c r="C249" s="26">
        <v>-6.6783100999999997E-2</v>
      </c>
      <c r="D249" s="17">
        <v>-0.58506052200000003</v>
      </c>
    </row>
    <row r="250" spans="1:4">
      <c r="A250" s="15">
        <v>46021</v>
      </c>
      <c r="B250" s="21">
        <v>0.95781066500000001</v>
      </c>
      <c r="C250" s="26">
        <v>-6.6783100999999997E-2</v>
      </c>
      <c r="D250" s="17">
        <v>-2.1771780000000001E-3</v>
      </c>
    </row>
    <row r="251" spans="1:4">
      <c r="A251" s="15">
        <v>46022</v>
      </c>
      <c r="B251" s="21">
        <v>0.95781066500000001</v>
      </c>
      <c r="C251" s="26">
        <v>-6.6783100999999997E-2</v>
      </c>
      <c r="D251" s="17">
        <v>-0.17752141399999999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Performance Summary</vt:lpstr>
      <vt:lpstr>Daily Backtest</vt:lpstr>
      <vt:lpstr>Methodology</vt:lpstr>
      <vt:lpstr>Chart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shivangi sah</cp:lastModifiedBy>
  <dcterms:created xsi:type="dcterms:W3CDTF">2026-09-14T17:43:25Z</dcterms:created>
  <dcterms:modified xsi:type="dcterms:W3CDTF">2026-09-14T17:43:25Z</dcterms:modified>
</cp:coreProperties>
</file>